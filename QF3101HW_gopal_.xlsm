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Ramanen\Desktop\"/>
    </mc:Choice>
  </mc:AlternateContent>
  <bookViews>
    <workbookView xWindow="0" yWindow="0" windowWidth="6480" windowHeight="6390" activeTab="1"/>
  </bookViews>
  <sheets>
    <sheet name="Part 1" sheetId="1" r:id="rId1"/>
    <sheet name="Part 2" sheetId="2" r:id="rId2"/>
  </sheets>
  <functionGroups builtInGroupCount="18"/>
  <definedNames>
    <definedName name="Slicer_Dates_D_Maturity_months">#N/A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 i="1" l="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6" i="1"/>
  <c r="F5" i="1"/>
  <c r="D108" i="2"/>
  <c r="D110" i="2"/>
  <c r="D113" i="2"/>
  <c r="D106" i="2"/>
  <c r="D109" i="2"/>
  <c r="D107" i="2"/>
  <c r="D111" i="2"/>
  <c r="D112" i="2"/>
  <c r="D105" i="2"/>
  <c r="D114" i="2"/>
  <c r="D104" i="2"/>
  <c r="T48" i="2" l="1"/>
  <c r="T49" i="2"/>
  <c r="T50" i="2"/>
  <c r="T51" i="2"/>
  <c r="T52" i="2"/>
  <c r="T53" i="2"/>
  <c r="B80" i="2"/>
  <c r="B81" i="2"/>
  <c r="B82" i="2"/>
  <c r="B83" i="2"/>
  <c r="B84" i="2"/>
  <c r="B85" i="2"/>
  <c r="B86" i="2"/>
  <c r="B87" i="2"/>
  <c r="B88" i="2"/>
  <c r="B89" i="2"/>
  <c r="B90" i="2"/>
  <c r="B79" i="2"/>
  <c r="I52" i="2"/>
  <c r="J52" i="2"/>
  <c r="K52" i="2"/>
  <c r="L52" i="2"/>
  <c r="M52" i="2"/>
  <c r="N52" i="2"/>
  <c r="O52" i="2"/>
  <c r="I53" i="2"/>
  <c r="J53" i="2"/>
  <c r="K53" i="2"/>
  <c r="L53" i="2"/>
  <c r="M53" i="2"/>
  <c r="N53" i="2"/>
  <c r="O53" i="2"/>
  <c r="I54" i="2"/>
  <c r="J54" i="2"/>
  <c r="K54" i="2"/>
  <c r="L54" i="2"/>
  <c r="M54" i="2"/>
  <c r="N54" i="2"/>
  <c r="O54" i="2"/>
  <c r="I55" i="2"/>
  <c r="J55" i="2"/>
  <c r="K55" i="2"/>
  <c r="L55" i="2"/>
  <c r="M55" i="2"/>
  <c r="N55" i="2"/>
  <c r="O55" i="2"/>
  <c r="I56" i="2"/>
  <c r="J56" i="2"/>
  <c r="K56" i="2"/>
  <c r="L56" i="2"/>
  <c r="M56" i="2"/>
  <c r="N56" i="2"/>
  <c r="O56" i="2"/>
  <c r="I57" i="2"/>
  <c r="J57" i="2"/>
  <c r="K57" i="2"/>
  <c r="L57" i="2"/>
  <c r="M57" i="2"/>
  <c r="N57" i="2"/>
  <c r="O57" i="2"/>
  <c r="I58" i="2"/>
  <c r="J58" i="2"/>
  <c r="K58" i="2"/>
  <c r="L58" i="2"/>
  <c r="M58" i="2"/>
  <c r="N58" i="2"/>
  <c r="O58" i="2"/>
  <c r="I59" i="2"/>
  <c r="J59" i="2"/>
  <c r="K59" i="2"/>
  <c r="L59" i="2"/>
  <c r="M59" i="2"/>
  <c r="N59" i="2"/>
  <c r="O59" i="2"/>
  <c r="I60" i="2"/>
  <c r="J60" i="2"/>
  <c r="K60" i="2"/>
  <c r="L60" i="2"/>
  <c r="M60" i="2"/>
  <c r="N60" i="2"/>
  <c r="O60" i="2"/>
  <c r="I61" i="2"/>
  <c r="J61" i="2"/>
  <c r="K61" i="2"/>
  <c r="L61" i="2"/>
  <c r="M61" i="2"/>
  <c r="N61" i="2"/>
  <c r="O61" i="2"/>
  <c r="I62" i="2"/>
  <c r="J62" i="2"/>
  <c r="K62" i="2"/>
  <c r="L62" i="2"/>
  <c r="M62" i="2"/>
  <c r="N62" i="2"/>
  <c r="O62" i="2"/>
  <c r="O51" i="2"/>
  <c r="N51" i="2"/>
  <c r="M51" i="2"/>
  <c r="L51" i="2"/>
  <c r="K51" i="2"/>
  <c r="J51" i="2"/>
  <c r="I51" i="2"/>
  <c r="H52" i="2"/>
  <c r="H53" i="2"/>
  <c r="H54" i="2"/>
  <c r="H55" i="2"/>
  <c r="H56" i="2"/>
  <c r="H57" i="2"/>
  <c r="H58" i="2"/>
  <c r="H59" i="2"/>
  <c r="H60" i="2"/>
  <c r="H61" i="2"/>
  <c r="H62" i="2"/>
  <c r="H51" i="2"/>
  <c r="G52" i="2"/>
  <c r="G53" i="2"/>
  <c r="G54" i="2"/>
  <c r="G55" i="2"/>
  <c r="G56" i="2"/>
  <c r="G57" i="2"/>
  <c r="G58" i="2"/>
  <c r="G59" i="2"/>
  <c r="G60" i="2"/>
  <c r="G61" i="2"/>
  <c r="G62" i="2"/>
  <c r="G51" i="2"/>
  <c r="F52" i="2"/>
  <c r="F53" i="2"/>
  <c r="F54" i="2"/>
  <c r="F55" i="2"/>
  <c r="F56" i="2"/>
  <c r="F57" i="2"/>
  <c r="F58" i="2"/>
  <c r="F59" i="2"/>
  <c r="F60" i="2"/>
  <c r="F61" i="2"/>
  <c r="F62" i="2"/>
  <c r="F51" i="2"/>
  <c r="E52" i="2"/>
  <c r="E53" i="2"/>
  <c r="E54" i="2"/>
  <c r="E55" i="2"/>
  <c r="E56" i="2"/>
  <c r="E57" i="2"/>
  <c r="E58" i="2"/>
  <c r="E59" i="2"/>
  <c r="E60" i="2"/>
  <c r="E61" i="2"/>
  <c r="E62" i="2"/>
  <c r="E51" i="2"/>
  <c r="D61" i="2"/>
  <c r="D52" i="2"/>
  <c r="D53" i="2"/>
  <c r="D54" i="2"/>
  <c r="D55" i="2"/>
  <c r="D56" i="2"/>
  <c r="D57" i="2"/>
  <c r="D58" i="2"/>
  <c r="D59" i="2"/>
  <c r="D60" i="2"/>
  <c r="D62" i="2"/>
  <c r="D51" i="2"/>
  <c r="T54" i="2"/>
  <c r="T55" i="2"/>
  <c r="T56" i="2"/>
  <c r="T57" i="2"/>
  <c r="T58" i="2"/>
  <c r="T59" i="2"/>
  <c r="D83" i="2"/>
  <c r="D82" i="2"/>
  <c r="D84" i="2"/>
  <c r="D85" i="2"/>
  <c r="D86" i="2"/>
  <c r="D90" i="2"/>
  <c r="D87" i="2"/>
  <c r="D79" i="2"/>
  <c r="D88" i="2"/>
  <c r="D81" i="2"/>
  <c r="D80" i="2"/>
  <c r="D89" i="2"/>
  <c r="E72" i="1" l="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71" i="1"/>
  <c r="C101" i="1"/>
  <c r="D101" i="1" s="1"/>
  <c r="C102" i="1"/>
  <c r="D102" i="1" s="1"/>
  <c r="C103" i="1"/>
  <c r="D103" i="1" s="1"/>
  <c r="C104" i="1"/>
  <c r="D104" i="1" s="1"/>
  <c r="C105" i="1"/>
  <c r="D105" i="1" s="1"/>
  <c r="C106" i="1"/>
  <c r="D106" i="1" s="1"/>
  <c r="C107" i="1"/>
  <c r="D107" i="1" s="1"/>
  <c r="C72" i="1"/>
  <c r="D72" i="1" s="1"/>
  <c r="C73" i="1"/>
  <c r="D73" i="1" s="1"/>
  <c r="C74" i="1"/>
  <c r="D74" i="1" s="1"/>
  <c r="C75" i="1"/>
  <c r="D75" i="1" s="1"/>
  <c r="C76" i="1"/>
  <c r="D76" i="1" s="1"/>
  <c r="C77" i="1"/>
  <c r="D77" i="1" s="1"/>
  <c r="C78" i="1"/>
  <c r="D78" i="1" s="1"/>
  <c r="C79" i="1"/>
  <c r="D79" i="1" s="1"/>
  <c r="C80" i="1"/>
  <c r="D80" i="1" s="1"/>
  <c r="C81" i="1"/>
  <c r="D81" i="1" s="1"/>
  <c r="C82" i="1"/>
  <c r="D82" i="1" s="1"/>
  <c r="C83" i="1"/>
  <c r="D83" i="1" s="1"/>
  <c r="C84" i="1"/>
  <c r="D84" i="1" s="1"/>
  <c r="C85" i="1"/>
  <c r="D85" i="1" s="1"/>
  <c r="C86" i="1"/>
  <c r="D86" i="1" s="1"/>
  <c r="C87" i="1"/>
  <c r="D87" i="1" s="1"/>
  <c r="C88" i="1"/>
  <c r="D88" i="1" s="1"/>
  <c r="C89" i="1"/>
  <c r="D89" i="1" s="1"/>
  <c r="C90" i="1"/>
  <c r="D90" i="1" s="1"/>
  <c r="C91" i="1"/>
  <c r="D91" i="1" s="1"/>
  <c r="C92" i="1"/>
  <c r="D92" i="1" s="1"/>
  <c r="C93" i="1"/>
  <c r="D93" i="1" s="1"/>
  <c r="C94" i="1"/>
  <c r="D94" i="1" s="1"/>
  <c r="C95" i="1"/>
  <c r="D95" i="1" s="1"/>
  <c r="C96" i="1"/>
  <c r="D96" i="1" s="1"/>
  <c r="C97" i="1"/>
  <c r="D97" i="1" s="1"/>
  <c r="C98" i="1"/>
  <c r="D98" i="1" s="1"/>
  <c r="C99" i="1"/>
  <c r="D99" i="1" s="1"/>
  <c r="C100" i="1"/>
  <c r="D100" i="1" s="1"/>
  <c r="C71" i="1"/>
  <c r="D71" i="1" s="1"/>
  <c r="D41" i="1" l="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5" i="1"/>
</calcChain>
</file>

<file path=xl/sharedStrings.xml><?xml version="1.0" encoding="utf-8"?>
<sst xmlns="http://schemas.openxmlformats.org/spreadsheetml/2006/main" count="180" uniqueCount="137">
  <si>
    <t>Day X</t>
  </si>
  <si>
    <t>Prior_Settle
Futures Pirce</t>
  </si>
  <si>
    <t>Implied 3-Month
SOFR</t>
  </si>
  <si>
    <t>Settlement
Date</t>
  </si>
  <si>
    <t>Num Days in 
Contract Quarter</t>
  </si>
  <si>
    <t>Contract
Sign Month</t>
  </si>
  <si>
    <t>Term Structure
Ref: 18-Jun-25</t>
  </si>
  <si>
    <t>Term Structure
Ref: 17-Sep-25</t>
  </si>
  <si>
    <t>Term Structure
Ref: 17-Dec-25</t>
  </si>
  <si>
    <t>Term Structure
Ref: 18-Mar-26</t>
  </si>
  <si>
    <t>Term Structure
Ref: 17-Jun-26</t>
  </si>
  <si>
    <t>Part1 - Stage 1</t>
  </si>
  <si>
    <t>Part1 - Stage 2</t>
  </si>
  <si>
    <t>Part1 - Stage 2.2</t>
  </si>
  <si>
    <t>A U-shape trend is observed where forward SOFR rates fall and then rise. The drop in forward SOFR Rates atleast in the short term, is due to Trump's desire to ask the Federal Reserve to stimulate the slowing US economy</t>
  </si>
  <si>
    <t>Decreasing Interval is from 18-Jun-25 to September-2027, after which until 20-Sep-34, the rates increase. The increase can be attributed to the economy recovering</t>
  </si>
  <si>
    <t>Part1 - Stage 2.3</t>
  </si>
  <si>
    <t>Part1 - Stage 2.4</t>
  </si>
  <si>
    <t>Part1 - Stage3</t>
  </si>
  <si>
    <t>DaysInTerm 
(From 18/6/25)</t>
  </si>
  <si>
    <t>Settlement Date 
(From Above)</t>
  </si>
  <si>
    <t>Start of FRA</t>
  </si>
  <si>
    <t>Term Structure
Ref: 18-Jun-25
(From Above)</t>
  </si>
  <si>
    <t>Fixed Rate of a deferred IxJ FRA (From 18/6/25)</t>
  </si>
  <si>
    <t>I, J</t>
  </si>
  <si>
    <t>J=I +3</t>
  </si>
  <si>
    <t>J=I + 6</t>
  </si>
  <si>
    <t>J=I +9</t>
  </si>
  <si>
    <t>J=I +12</t>
  </si>
  <si>
    <t>I=3</t>
  </si>
  <si>
    <t>I=6</t>
  </si>
  <si>
    <t>I=9</t>
  </si>
  <si>
    <t>I=12</t>
  </si>
  <si>
    <t>I=15</t>
  </si>
  <si>
    <t>I=18</t>
  </si>
  <si>
    <t>I=21</t>
  </si>
  <si>
    <t>I=24</t>
  </si>
  <si>
    <t>I=27</t>
  </si>
  <si>
    <t>I=30</t>
  </si>
  <si>
    <t>I=33</t>
  </si>
  <si>
    <t>I=36</t>
  </si>
  <si>
    <t>I=39</t>
  </si>
  <si>
    <t>I=42</t>
  </si>
  <si>
    <t>I=45</t>
  </si>
  <si>
    <t>I=48</t>
  </si>
  <si>
    <t>I=51</t>
  </si>
  <si>
    <t>I=54</t>
  </si>
  <si>
    <t>I=57</t>
  </si>
  <si>
    <t>I=60</t>
  </si>
  <si>
    <t>I=63</t>
  </si>
  <si>
    <t>I=66</t>
  </si>
  <si>
    <t>I=69</t>
  </si>
  <si>
    <t>I=72</t>
  </si>
  <si>
    <t>I=75</t>
  </si>
  <si>
    <t>I=78</t>
  </si>
  <si>
    <t>I=81</t>
  </si>
  <si>
    <t>I=84</t>
  </si>
  <si>
    <t>I=87</t>
  </si>
  <si>
    <t>I=90</t>
  </si>
  <si>
    <t>n</t>
  </si>
  <si>
    <t>k</t>
  </si>
  <si>
    <t>Part 1 Stage 3.1</t>
  </si>
  <si>
    <t>Part 1 Stage 3.3</t>
  </si>
  <si>
    <t>Part 1 Stage 3.2</t>
  </si>
  <si>
    <t>Part 1 Stage 3.4</t>
  </si>
  <si>
    <t>Part 1 Stage 3.5</t>
  </si>
  <si>
    <t>1M</t>
  </si>
  <si>
    <t>2M</t>
  </si>
  <si>
    <t>3M</t>
  </si>
  <si>
    <t>4M</t>
  </si>
  <si>
    <t>Dates D/Maturity(months)</t>
  </si>
  <si>
    <t>2/1/2010</t>
  </si>
  <si>
    <t>Values</t>
  </si>
  <si>
    <t>5M</t>
  </si>
  <si>
    <t>6M</t>
  </si>
  <si>
    <t>7M</t>
  </si>
  <si>
    <t>8M</t>
  </si>
  <si>
    <t>9M</t>
  </si>
  <si>
    <t>10M</t>
  </si>
  <si>
    <t>11M</t>
  </si>
  <si>
    <t>12M</t>
  </si>
  <si>
    <t>11/1/2010</t>
  </si>
  <si>
    <t>3/1/2010</t>
  </si>
  <si>
    <t>6/1/2010</t>
  </si>
  <si>
    <t>10/1/2010</t>
  </si>
  <si>
    <t>12/1/2010</t>
  </si>
  <si>
    <t>5/3/2010</t>
  </si>
  <si>
    <t>4/1/2010</t>
  </si>
  <si>
    <t>1/4/2010</t>
  </si>
  <si>
    <t>7/1/2010</t>
  </si>
  <si>
    <t>8/2/2010</t>
  </si>
  <si>
    <t>9/1/2010</t>
  </si>
  <si>
    <t xml:space="preserve">Furthermore, a higher interest rate is required to compensate for longer lending period. </t>
  </si>
  <si>
    <t>Spread of Max-Min</t>
  </si>
  <si>
    <r>
      <rPr>
        <b/>
        <sz val="11"/>
        <color theme="1"/>
        <rFont val="Calibri"/>
        <family val="2"/>
        <scheme val="minor"/>
      </rPr>
      <t>Jan-Mar 2010</t>
    </r>
    <r>
      <rPr>
        <sz val="11"/>
        <color theme="1"/>
        <rFont val="Calibri"/>
        <family val="2"/>
        <scheme val="minor"/>
      </rPr>
      <t xml:space="preserve"> typically exhibits flatter curves, suggesting low interest rates in a post 2008 financial crisis environment. However</t>
    </r>
    <r>
      <rPr>
        <b/>
        <sz val="11"/>
        <color theme="1"/>
        <rFont val="Calibri"/>
        <family val="2"/>
        <scheme val="minor"/>
      </rPr>
      <t>, from May to Aug 2010</t>
    </r>
    <r>
      <rPr>
        <sz val="11"/>
        <color theme="1"/>
        <rFont val="Calibri"/>
        <family val="2"/>
        <scheme val="minor"/>
      </rPr>
      <t>, 1M Libor increases to 0.35% while 12M rates shoots up above 1%</t>
    </r>
  </si>
  <si>
    <r>
      <t xml:space="preserve">From </t>
    </r>
    <r>
      <rPr>
        <b/>
        <sz val="11"/>
        <color theme="1"/>
        <rFont val="Calibri"/>
        <family val="2"/>
        <scheme val="minor"/>
      </rPr>
      <t>Sep to Dec 2010</t>
    </r>
    <r>
      <rPr>
        <sz val="11"/>
        <color theme="1"/>
        <rFont val="Calibri"/>
        <family val="2"/>
        <scheme val="minor"/>
      </rPr>
      <t>, we can see the rates dropping back but still slightly higher than 2010Q1 (both short term &amp; long term) and the spread  decreasing to around 50 basis points, suggesting more economic caution or reduced inflation.</t>
    </r>
  </si>
  <si>
    <r>
      <rPr>
        <b/>
        <sz val="11"/>
        <color theme="1"/>
        <rFont val="Calibri"/>
        <family val="2"/>
        <scheme val="minor"/>
      </rPr>
      <t>All 12 Month Term Structure</t>
    </r>
    <r>
      <rPr>
        <sz val="11"/>
        <color theme="1"/>
        <rFont val="Calibri"/>
        <family val="2"/>
        <scheme val="minor"/>
      </rPr>
      <t>s exhibit an upward trend, reflecting a normal yield curve throughout the 12 Months. This may indicate that due to expected positive economic  growth, market expectations are that future rate will increase</t>
    </r>
  </si>
  <si>
    <t>Part2 Stage 2</t>
  </si>
  <si>
    <t>Part2 Stage 1.2</t>
  </si>
  <si>
    <t>Part2 Stage 1.1</t>
  </si>
  <si>
    <t>How Number of Days for each Month of Maturity from Reference Date was calculated</t>
  </si>
  <si>
    <t>Set</t>
  </si>
  <si>
    <t>D</t>
  </si>
  <si>
    <t>E</t>
  </si>
  <si>
    <t>Ref Date/Maturity (months)</t>
  </si>
  <si>
    <r>
      <rPr>
        <b/>
        <u/>
        <sz val="11"/>
        <color theme="1"/>
        <rFont val="Calibri"/>
        <family val="2"/>
        <scheme val="minor"/>
      </rPr>
      <t>Number of Days</t>
    </r>
    <r>
      <rPr>
        <b/>
        <sz val="11"/>
        <color theme="1"/>
        <rFont val="Calibri"/>
        <family val="2"/>
        <scheme val="minor"/>
      </rPr>
      <t xml:space="preserve"> from Reference Date for X-month Maturity</t>
    </r>
  </si>
  <si>
    <r>
      <rPr>
        <b/>
        <u/>
        <sz val="11"/>
        <color theme="1"/>
        <rFont val="Calibri"/>
        <family val="2"/>
        <scheme val="minor"/>
      </rPr>
      <t>LIBOR Rates</t>
    </r>
    <r>
      <rPr>
        <b/>
        <sz val="11"/>
        <color theme="1"/>
        <rFont val="Calibri"/>
        <family val="2"/>
        <scheme val="minor"/>
      </rPr>
      <t xml:space="preserve"> from Reference Date for X-month Maturity</t>
    </r>
  </si>
  <si>
    <t>Swap Start Date</t>
  </si>
  <si>
    <t>1Y Swap Term - Swap Rate</t>
  </si>
  <si>
    <t>Dates D/X</t>
  </si>
  <si>
    <t>mm/dd of Start</t>
  </si>
  <si>
    <t>Part2 Stage 3</t>
  </si>
  <si>
    <t>K</t>
  </si>
  <si>
    <t>Swap Value at K months from Start Date</t>
  </si>
  <si>
    <r>
      <t>Considering a Party that</t>
    </r>
    <r>
      <rPr>
        <b/>
        <i/>
        <sz val="11"/>
        <color theme="1"/>
        <rFont val="Calibri"/>
        <family val="2"/>
        <scheme val="minor"/>
      </rPr>
      <t xml:space="preserve"> receives fixed</t>
    </r>
    <r>
      <rPr>
        <i/>
        <sz val="11"/>
        <color theme="1"/>
        <rFont val="Calibri"/>
        <family val="2"/>
        <scheme val="minor"/>
      </rPr>
      <t xml:space="preserve"> rate payments &amp; </t>
    </r>
    <r>
      <rPr>
        <b/>
        <i/>
        <sz val="11"/>
        <color theme="1"/>
        <rFont val="Calibri"/>
        <family val="2"/>
        <scheme val="minor"/>
      </rPr>
      <t>pays floating</t>
    </r>
    <r>
      <rPr>
        <i/>
        <sz val="11"/>
        <color theme="1"/>
        <rFont val="Calibri"/>
        <family val="2"/>
        <scheme val="minor"/>
      </rPr>
      <t xml:space="preserve"> rate payments, with $1 Notional Principal</t>
    </r>
  </si>
  <si>
    <t>Personally, I believe that short-term interest rates are highly sensitive to changing economic conditions, particularly in the current tumultuous economic climate. These rates quickly respond to market expectations around inflation, central bank decisions, and immediate macroeconomic indicators.</t>
  </si>
  <si>
    <t>Most investors strongly believe that the American economy will weather short-term slowdowns and emerge stronger, supported by structural advantages like productivity growth. This optimism leads to expectations of higher long-term growth, which in turn justifies higher long-term interest rates.</t>
  </si>
  <si>
    <t xml:space="preserve">The graphs of different reference rates are stable since there is some consensus for the long term rates in the future. This is shown from the lines's rising in the same trend roughly from the 20th month and getting close. </t>
  </si>
  <si>
    <t>But the near-term rates tend to vary due to short term uncertainty.</t>
  </si>
  <si>
    <t>In contrast, long-term interest rates reflect structural beliefs about the economy's future trajectory. They encapsulate how investors and policymakers view the long-term U.S. economy</t>
  </si>
  <si>
    <t>The plot shows a clear U-shaped curve. From K = 1 to 5, which means till 15th months from 18th Jun 25, the rates decrease till 3.15%. After which they increase steadily till K=30, to 4.02%. Turning point is at K=5, where FRA rates are the lowest.</t>
  </si>
  <si>
    <t>and the macro-economic policy by the FEDS is now instead to reduce inflation due to economic growth from the period of lower SOFR rates. Turning point is for term structure ending at 9-Sep-27 were SOFR is 3.476%</t>
  </si>
  <si>
    <t xml:space="preserve">Initial downard slope can be attributed to market expectations of short decrease in interest rates. This is largely from mild recession in the near term (JP Morgan recently increased the probability of recession from 40% to 60% after trump's hints of tariffs. </t>
  </si>
  <si>
    <t>The upward slope aligns with expectation that the FED will tigthen monetary policy to curb inflationary pressure from stronger growth in the long term</t>
  </si>
  <si>
    <t>ALL 4 FRA lines are stable as they all decrease in the short &amp; show clear turning point at around K=4 or K=5. Beofre steadily increasing linearly after that.</t>
  </si>
  <si>
    <t xml:space="preserve">The lines are stable as FRA is derived from the term strucutres of the same reference date of 16th Jun 25. Even though higher n considers a longer time period, as it takes data from the same term structure </t>
  </si>
  <si>
    <t>and consequently same SOFR curve, underlying economic expectation for inflation, economic growth remain unchanged.</t>
  </si>
  <si>
    <t xml:space="preserve">But in the short term, increasing n, has the effect of shifting the FRA curve forward where short term volatility gets skipped over in a sense. Hence, the higher values of n, </t>
  </si>
  <si>
    <t>tend to represent more of longer term expectations causing them to be a bit less volatile and hence lower.</t>
  </si>
  <si>
    <t xml:space="preserve">FRA rate decreases when J increases for this I=3, because, longer FRAs exposes the seller of the FRA to more interest rate volatility, coupled with the expectation that interest rates will decrease in the short term (where I=3). </t>
  </si>
  <si>
    <t>They are likely to price the FRA more conservatively matching expectations.</t>
  </si>
  <si>
    <t>With spread (max-min for Ref Date) in this period, being the highest  in the year at around 80 basis points (0.8%). This suggests that economy may have recovered from the period of low interest rates from economy recovering &amp; from  quantitative easing and rates will be increased by the federal reserve to combat inflation.</t>
  </si>
  <si>
    <t xml:space="preserve">Swap Rates are influenced by predictions &amp; existing interest rates. In Q1, the economy was still recovering from post 2008 financial crisis and hence due to slow recovery &amp; low inflation, the swap rates reflected the low short term interest rates. </t>
  </si>
  <si>
    <r>
      <t>However, in the</t>
    </r>
    <r>
      <rPr>
        <b/>
        <sz val="11"/>
        <color theme="1"/>
        <rFont val="Calibri"/>
        <family val="2"/>
        <scheme val="minor"/>
      </rPr>
      <t xml:space="preserve"> 2nd half of 2010</t>
    </r>
    <r>
      <rPr>
        <sz val="11"/>
        <color theme="1"/>
        <rFont val="Calibri"/>
        <family val="2"/>
        <scheme val="minor"/>
      </rPr>
      <t xml:space="preserve">, economy momentum slowed down with lower GDP growth than Q2. Hence, the federal reserve did its second round of quantitative easing announced in Nov 2010, causing higher market liquidity and hence pushing interest rates up slightly due to expectations that this will boost the economic recovery efforts </t>
    </r>
  </si>
  <si>
    <r>
      <t xml:space="preserve">But in </t>
    </r>
    <r>
      <rPr>
        <b/>
        <sz val="11"/>
        <color theme="1"/>
        <rFont val="Calibri"/>
        <family val="2"/>
        <scheme val="minor"/>
      </rPr>
      <t>Q2 2010</t>
    </r>
    <r>
      <rPr>
        <sz val="11"/>
        <color theme="1"/>
        <rFont val="Calibri"/>
        <family val="2"/>
        <scheme val="minor"/>
      </rPr>
      <t>, economic metrics like GDP increased feelings of market recovery. This led to belief that the federal reserve will tigthen its monetary policy by increasing interest rates. And hence, leading to an uptick in swap rates in Q2 2010.</t>
    </r>
  </si>
  <si>
    <r>
      <t xml:space="preserve">The trend recorded a decline in </t>
    </r>
    <r>
      <rPr>
        <b/>
        <sz val="11"/>
        <color theme="1"/>
        <rFont val="Calibri"/>
        <family val="2"/>
        <scheme val="minor"/>
      </rPr>
      <t xml:space="preserve">2010 Q1 </t>
    </r>
    <r>
      <rPr>
        <sz val="11"/>
        <color theme="1"/>
        <rFont val="Calibri"/>
        <family val="2"/>
        <scheme val="minor"/>
      </rPr>
      <t xml:space="preserve">from 0.99% to 0.83%. Before rising sharply to 1.20% by end of Q2. It then declined to a low of 0.76% in November rising slightly to 0.79% in december. </t>
    </r>
  </si>
  <si>
    <t>E - 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</si>
</sst>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
    <numFmt numFmtId="165" formatCode="[$-14809]d/m/yyyy;@"/>
    <numFmt numFmtId="166" formatCode="d/m/yyyy"/>
    <numFmt numFmtId="167" formatCode="0.000%"/>
    <numFmt numFmtId="168" formatCode="0.00000"/>
    <numFmt numFmtId="169" formatCode="0.0000"/>
  </numFmts>
  <fonts count="10" x14ac:knownFonts="1">
    <font>
      <sz val="11"/>
      <color theme="1"/>
      <name val="Calibri"/>
      <family val="2"/>
      <scheme val="minor"/>
    </font>
    <font>
      <b/>
      <sz val="11"/>
      <color theme="1"/>
      <name val="Calibri"/>
      <family val="2"/>
      <scheme val="minor"/>
    </font>
    <font>
      <sz val="11"/>
      <color rgb="FF25323C"/>
      <name val="Calibri"/>
      <family val="2"/>
      <scheme val="minor"/>
    </font>
    <font>
      <sz val="11"/>
      <color theme="0"/>
      <name val="Calibri"/>
      <family val="2"/>
      <scheme val="minor"/>
    </font>
    <font>
      <u/>
      <sz val="11"/>
      <color theme="1"/>
      <name val="Calibri"/>
      <family val="2"/>
      <scheme val="minor"/>
    </font>
    <font>
      <b/>
      <u/>
      <sz val="11"/>
      <color theme="1"/>
      <name val="Calibri"/>
      <family val="2"/>
      <scheme val="minor"/>
    </font>
    <font>
      <sz val="11"/>
      <color rgb="FF021A25"/>
      <name val="Calibri"/>
      <family val="2"/>
      <scheme val="minor"/>
    </font>
    <font>
      <b/>
      <sz val="12"/>
      <color theme="1"/>
      <name val="Calibri"/>
      <family val="2"/>
      <scheme val="minor"/>
    </font>
    <font>
      <i/>
      <sz val="11"/>
      <color theme="1"/>
      <name val="Calibri"/>
      <family val="2"/>
      <scheme val="minor"/>
    </font>
    <font>
      <b/>
      <i/>
      <sz val="11"/>
      <color theme="1"/>
      <name val="Calibri"/>
      <family val="2"/>
      <scheme val="minor"/>
    </font>
  </fonts>
  <fills count="13">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1" tint="0.14999847407452621"/>
        <bgColor indexed="64"/>
      </patternFill>
    </fill>
    <fill>
      <patternFill patternType="solid">
        <fgColor theme="5"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FF00"/>
        <bgColor indexed="64"/>
      </patternFill>
    </fill>
  </fills>
  <borders count="38">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rgb="FF000000"/>
      </left>
      <right style="medium">
        <color rgb="FF000000"/>
      </right>
      <top/>
      <bottom/>
      <diagonal/>
    </border>
    <border>
      <left style="medium">
        <color rgb="FF000000"/>
      </left>
      <right style="medium">
        <color rgb="FF000000"/>
      </right>
      <top/>
      <bottom style="medium">
        <color indexed="64"/>
      </bottom>
      <diagonal/>
    </border>
    <border>
      <left/>
      <right style="medium">
        <color rgb="FF000000"/>
      </right>
      <top/>
      <bottom/>
      <diagonal/>
    </border>
    <border>
      <left/>
      <right style="medium">
        <color rgb="FF000000"/>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rgb="FF000000"/>
      </left>
      <right/>
      <top/>
      <bottom/>
      <diagonal/>
    </border>
    <border>
      <left style="medium">
        <color rgb="FF000000"/>
      </left>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s>
  <cellStyleXfs count="1">
    <xf numFmtId="0" fontId="0" fillId="0" borderId="0"/>
  </cellStyleXfs>
  <cellXfs count="140">
    <xf numFmtId="0" fontId="0" fillId="0" borderId="0" xfId="0"/>
    <xf numFmtId="0" fontId="0" fillId="0" borderId="0" xfId="0" applyAlignment="1">
      <alignment horizontal="center"/>
    </xf>
    <xf numFmtId="17" fontId="0" fillId="0" borderId="0" xfId="0" applyNumberFormat="1" applyAlignment="1">
      <alignment horizontal="center"/>
    </xf>
    <xf numFmtId="0" fontId="0" fillId="0" borderId="0" xfId="0" applyAlignment="1">
      <alignment horizontal="left"/>
    </xf>
    <xf numFmtId="164" fontId="0" fillId="0" borderId="0" xfId="0" applyNumberFormat="1" applyFont="1"/>
    <xf numFmtId="0" fontId="0" fillId="0" borderId="0" xfId="0" applyAlignment="1">
      <alignment horizontal="center" vertical="center"/>
    </xf>
    <xf numFmtId="164" fontId="2" fillId="0" borderId="0" xfId="0" applyNumberFormat="1" applyFont="1" applyFill="1" applyBorder="1" applyAlignment="1">
      <alignment vertical="center" wrapText="1"/>
    </xf>
    <xf numFmtId="164" fontId="0" fillId="0" borderId="0" xfId="0" applyNumberFormat="1" applyFill="1" applyBorder="1"/>
    <xf numFmtId="14" fontId="0" fillId="0" borderId="0" xfId="0" applyNumberFormat="1"/>
    <xf numFmtId="0" fontId="0" fillId="0" borderId="0" xfId="0" applyFill="1"/>
    <xf numFmtId="165" fontId="0" fillId="0" borderId="0" xfId="0" applyNumberFormat="1" applyFont="1" applyFill="1" applyAlignment="1">
      <alignment horizontal="right"/>
    </xf>
    <xf numFmtId="0" fontId="1" fillId="0" borderId="0" xfId="0" applyFont="1" applyAlignment="1">
      <alignment horizontal="center" vertical="center" wrapText="1"/>
    </xf>
    <xf numFmtId="164" fontId="0" fillId="0" borderId="0" xfId="0" applyNumberFormat="1"/>
    <xf numFmtId="0" fontId="4" fillId="0" borderId="0" xfId="0" applyFont="1" applyAlignment="1">
      <alignment horizontal="left"/>
    </xf>
    <xf numFmtId="0" fontId="5" fillId="0" borderId="0" xfId="0" applyFont="1" applyAlignment="1">
      <alignment horizontal="left"/>
    </xf>
    <xf numFmtId="165" fontId="0" fillId="0" borderId="0" xfId="0" applyNumberFormat="1" applyFont="1" applyFill="1" applyBorder="1" applyAlignment="1">
      <alignment horizontal="right"/>
    </xf>
    <xf numFmtId="0" fontId="0" fillId="0" borderId="0" xfId="0" applyBorder="1"/>
    <xf numFmtId="0" fontId="0" fillId="0" borderId="0" xfId="0" applyFill="1" applyBorder="1" applyAlignment="1">
      <alignment horizontal="center"/>
    </xf>
    <xf numFmtId="1" fontId="0" fillId="0" borderId="0" xfId="0" applyNumberFormat="1" applyBorder="1" applyAlignment="1">
      <alignment horizontal="center"/>
    </xf>
    <xf numFmtId="0" fontId="0" fillId="0" borderId="3" xfId="0" applyFill="1" applyBorder="1" applyAlignment="1">
      <alignment horizontal="center"/>
    </xf>
    <xf numFmtId="0" fontId="3" fillId="5" borderId="1" xfId="0" applyFont="1" applyFill="1" applyBorder="1" applyAlignment="1">
      <alignment horizontal="center"/>
    </xf>
    <xf numFmtId="164" fontId="0" fillId="0" borderId="2" xfId="0" applyNumberFormat="1" applyBorder="1" applyAlignment="1">
      <alignment horizontal="center"/>
    </xf>
    <xf numFmtId="0" fontId="0" fillId="0" borderId="2" xfId="0" applyBorder="1" applyAlignment="1">
      <alignment horizontal="center"/>
    </xf>
    <xf numFmtId="165" fontId="2" fillId="0" borderId="0" xfId="0" applyNumberFormat="1" applyFont="1" applyFill="1" applyBorder="1" applyAlignment="1">
      <alignment horizontal="right" vertical="center" wrapText="1"/>
    </xf>
    <xf numFmtId="164" fontId="0" fillId="0" borderId="8" xfId="0" applyNumberFormat="1" applyBorder="1"/>
    <xf numFmtId="164" fontId="0" fillId="0" borderId="11" xfId="0" applyNumberFormat="1" applyBorder="1"/>
    <xf numFmtId="17" fontId="0" fillId="0" borderId="7" xfId="0" applyNumberFormat="1" applyFill="1" applyBorder="1" applyAlignment="1">
      <alignment horizontal="center"/>
    </xf>
    <xf numFmtId="0" fontId="0" fillId="0" borderId="8" xfId="0" applyBorder="1"/>
    <xf numFmtId="17" fontId="0" fillId="0" borderId="9" xfId="0" applyNumberFormat="1" applyFill="1" applyBorder="1" applyAlignment="1">
      <alignment horizontal="center"/>
    </xf>
    <xf numFmtId="164" fontId="2" fillId="0" borderId="10" xfId="0" applyNumberFormat="1" applyFont="1" applyFill="1" applyBorder="1" applyAlignment="1">
      <alignment vertical="center" wrapText="1"/>
    </xf>
    <xf numFmtId="164" fontId="0" fillId="0" borderId="10" xfId="0" applyNumberFormat="1" applyFill="1" applyBorder="1"/>
    <xf numFmtId="165" fontId="2" fillId="0" borderId="10" xfId="0" applyNumberFormat="1" applyFont="1" applyFill="1" applyBorder="1" applyAlignment="1">
      <alignment horizontal="right" vertical="center" wrapText="1"/>
    </xf>
    <xf numFmtId="0" fontId="0" fillId="0" borderId="11" xfId="0" applyBorder="1"/>
    <xf numFmtId="165" fontId="0" fillId="0" borderId="7" xfId="0" applyNumberFormat="1" applyFont="1" applyFill="1" applyBorder="1" applyAlignment="1">
      <alignment horizontal="right"/>
    </xf>
    <xf numFmtId="0" fontId="0" fillId="0" borderId="7" xfId="0" applyBorder="1" applyAlignment="1">
      <alignment horizontal="center"/>
    </xf>
    <xf numFmtId="0" fontId="0" fillId="0" borderId="9" xfId="0" applyBorder="1" applyAlignment="1">
      <alignment horizontal="center"/>
    </xf>
    <xf numFmtId="165" fontId="0" fillId="0" borderId="10" xfId="0" applyNumberFormat="1" applyFont="1" applyFill="1" applyBorder="1" applyAlignment="1">
      <alignment horizontal="right"/>
    </xf>
    <xf numFmtId="0" fontId="0" fillId="0" borderId="10" xfId="0" applyBorder="1"/>
    <xf numFmtId="0" fontId="0" fillId="0" borderId="12" xfId="0" applyFill="1" applyBorder="1"/>
    <xf numFmtId="1" fontId="0" fillId="0" borderId="8" xfId="0" applyNumberFormat="1" applyBorder="1" applyAlignment="1">
      <alignment horizontal="center"/>
    </xf>
    <xf numFmtId="0" fontId="0" fillId="0" borderId="13" xfId="0" applyFill="1" applyBorder="1" applyAlignment="1">
      <alignment horizontal="center"/>
    </xf>
    <xf numFmtId="0" fontId="0" fillId="0" borderId="14" xfId="0" applyBorder="1" applyAlignment="1">
      <alignment horizontal="center"/>
    </xf>
    <xf numFmtId="0" fontId="0" fillId="0" borderId="7" xfId="0" applyFill="1" applyBorder="1" applyAlignment="1">
      <alignment horizontal="center"/>
    </xf>
    <xf numFmtId="0" fontId="0" fillId="0" borderId="9" xfId="0" applyFill="1" applyBorder="1" applyAlignment="1">
      <alignment horizontal="center"/>
    </xf>
    <xf numFmtId="0" fontId="0" fillId="0" borderId="15" xfId="0" applyFill="1" applyBorder="1" applyAlignment="1">
      <alignment horizontal="center"/>
    </xf>
    <xf numFmtId="164" fontId="1" fillId="3" borderId="16" xfId="0" applyNumberFormat="1" applyFont="1" applyFill="1" applyBorder="1" applyAlignment="1">
      <alignment horizontal="center" vertical="center" wrapText="1"/>
    </xf>
    <xf numFmtId="164" fontId="1" fillId="3" borderId="17" xfId="0" applyNumberFormat="1" applyFont="1" applyFill="1" applyBorder="1" applyAlignment="1">
      <alignment horizontal="center" vertical="center" wrapText="1"/>
    </xf>
    <xf numFmtId="164" fontId="1" fillId="3" borderId="18" xfId="0" applyNumberFormat="1" applyFont="1" applyFill="1" applyBorder="1" applyAlignment="1">
      <alignment horizontal="center" vertical="center" wrapText="1"/>
    </xf>
    <xf numFmtId="0" fontId="1" fillId="2" borderId="16" xfId="0" applyFont="1" applyFill="1" applyBorder="1" applyAlignment="1">
      <alignment horizontal="center" vertical="center" wrapText="1"/>
    </xf>
    <xf numFmtId="164" fontId="1" fillId="2" borderId="17" xfId="0" applyNumberFormat="1" applyFont="1" applyFill="1" applyBorder="1" applyAlignment="1">
      <alignment horizontal="center" vertical="center" wrapText="1"/>
    </xf>
    <xf numFmtId="0" fontId="1" fillId="2" borderId="17" xfId="0" applyFont="1" applyFill="1" applyBorder="1" applyAlignment="1">
      <alignment horizontal="center" vertical="center" wrapText="1"/>
    </xf>
    <xf numFmtId="0" fontId="1" fillId="2" borderId="18" xfId="0" applyFont="1" applyFill="1" applyBorder="1" applyAlignment="1">
      <alignment horizontal="center" vertical="center" wrapText="1"/>
    </xf>
    <xf numFmtId="0" fontId="4" fillId="0" borderId="0" xfId="0" applyFont="1" applyAlignment="1">
      <alignment horizontal="center"/>
    </xf>
    <xf numFmtId="0" fontId="3" fillId="6" borderId="4" xfId="0" applyFont="1" applyFill="1" applyBorder="1"/>
    <xf numFmtId="0" fontId="0" fillId="0" borderId="0" xfId="0" applyFont="1"/>
    <xf numFmtId="0" fontId="0" fillId="0" borderId="17" xfId="0" applyFont="1" applyBorder="1" applyAlignment="1">
      <alignment horizontal="center"/>
    </xf>
    <xf numFmtId="0" fontId="4" fillId="0" borderId="0" xfId="0" applyFont="1"/>
    <xf numFmtId="0" fontId="0" fillId="0" borderId="0" xfId="0" pivotButton="1"/>
    <xf numFmtId="0" fontId="0" fillId="0" borderId="0" xfId="0" applyNumberFormat="1"/>
    <xf numFmtId="166" fontId="6" fillId="0" borderId="0" xfId="0" applyNumberFormat="1" applyFont="1" applyBorder="1" applyAlignment="1">
      <alignment horizontal="center" vertical="center" wrapText="1"/>
    </xf>
    <xf numFmtId="10" fontId="6" fillId="0" borderId="0" xfId="0" applyNumberFormat="1" applyFont="1" applyFill="1" applyBorder="1" applyAlignment="1">
      <alignment horizontal="right" vertical="center" wrapText="1"/>
    </xf>
    <xf numFmtId="0" fontId="0" fillId="0" borderId="0" xfId="0" applyFont="1" applyBorder="1"/>
    <xf numFmtId="14" fontId="3" fillId="0" borderId="0" xfId="0" applyNumberFormat="1" applyFont="1" applyBorder="1" applyAlignment="1">
      <alignment horizontal="center" vertical="center" wrapText="1"/>
    </xf>
    <xf numFmtId="49" fontId="6" fillId="0" borderId="23" xfId="0" applyNumberFormat="1" applyFont="1" applyFill="1" applyBorder="1" applyAlignment="1">
      <alignment horizontal="right" vertical="center" wrapText="1"/>
    </xf>
    <xf numFmtId="49" fontId="6" fillId="0" borderId="24" xfId="0" applyNumberFormat="1" applyFont="1" applyFill="1" applyBorder="1" applyAlignment="1">
      <alignment horizontal="right" vertical="center" wrapText="1"/>
    </xf>
    <xf numFmtId="49" fontId="6" fillId="0" borderId="25" xfId="0" applyNumberFormat="1" applyFont="1" applyFill="1" applyBorder="1" applyAlignment="1">
      <alignment horizontal="right" vertical="center" wrapText="1"/>
    </xf>
    <xf numFmtId="0" fontId="1" fillId="0" borderId="0" xfId="0" applyFont="1"/>
    <xf numFmtId="0" fontId="1" fillId="0" borderId="0" xfId="0" applyFont="1" applyAlignment="1">
      <alignment horizontal="center"/>
    </xf>
    <xf numFmtId="10" fontId="0" fillId="0" borderId="0" xfId="0" applyNumberFormat="1" applyFont="1" applyAlignment="1">
      <alignment horizontal="center"/>
    </xf>
    <xf numFmtId="1" fontId="0" fillId="0" borderId="0" xfId="0" applyNumberFormat="1" applyFont="1"/>
    <xf numFmtId="0" fontId="0" fillId="0" borderId="29" xfId="0" applyFont="1" applyBorder="1"/>
    <xf numFmtId="0" fontId="0" fillId="0" borderId="31" xfId="0" applyFont="1" applyBorder="1"/>
    <xf numFmtId="0" fontId="0" fillId="0" borderId="32" xfId="0" applyFont="1" applyBorder="1"/>
    <xf numFmtId="0" fontId="0" fillId="0" borderId="33" xfId="0" applyFont="1" applyBorder="1"/>
    <xf numFmtId="0" fontId="5" fillId="0" borderId="0" xfId="0" applyFont="1"/>
    <xf numFmtId="0" fontId="0" fillId="0" borderId="0" xfId="0" applyFont="1" applyAlignment="1">
      <alignment horizontal="center"/>
    </xf>
    <xf numFmtId="0" fontId="7" fillId="0" borderId="0" xfId="0" applyFont="1" applyAlignment="1">
      <alignment horizontal="center"/>
    </xf>
    <xf numFmtId="0" fontId="0" fillId="0" borderId="26" xfId="0" applyFont="1" applyBorder="1" applyAlignment="1">
      <alignment horizontal="center"/>
    </xf>
    <xf numFmtId="0" fontId="0" fillId="0" borderId="34" xfId="0" applyFont="1" applyBorder="1" applyAlignment="1">
      <alignment horizontal="center"/>
    </xf>
    <xf numFmtId="49" fontId="6" fillId="8" borderId="23" xfId="0" applyNumberFormat="1" applyFont="1" applyFill="1" applyBorder="1" applyAlignment="1">
      <alignment horizontal="right" vertical="center" wrapText="1"/>
    </xf>
    <xf numFmtId="49" fontId="6" fillId="8" borderId="24" xfId="0" applyNumberFormat="1" applyFont="1" applyFill="1" applyBorder="1" applyAlignment="1">
      <alignment horizontal="right" vertical="center" wrapText="1"/>
    </xf>
    <xf numFmtId="49" fontId="6" fillId="8" borderId="25" xfId="0" applyNumberFormat="1" applyFont="1" applyFill="1" applyBorder="1" applyAlignment="1">
      <alignment horizontal="right" vertical="center" wrapText="1"/>
    </xf>
    <xf numFmtId="167" fontId="0" fillId="0" borderId="6" xfId="0" applyNumberFormat="1" applyFont="1" applyBorder="1" applyAlignment="1">
      <alignment horizontal="center"/>
    </xf>
    <xf numFmtId="167" fontId="0" fillId="0" borderId="8" xfId="0" applyNumberFormat="1" applyFont="1" applyBorder="1" applyAlignment="1">
      <alignment horizontal="center"/>
    </xf>
    <xf numFmtId="167" fontId="0" fillId="0" borderId="11" xfId="0" applyNumberFormat="1" applyFont="1" applyBorder="1" applyAlignment="1">
      <alignment horizontal="center"/>
    </xf>
    <xf numFmtId="49" fontId="6" fillId="0" borderId="0" xfId="0" applyNumberFormat="1" applyFont="1" applyFill="1" applyBorder="1" applyAlignment="1">
      <alignment horizontal="right" vertical="center" wrapText="1"/>
    </xf>
    <xf numFmtId="0" fontId="8" fillId="0" borderId="0" xfId="0" applyFont="1"/>
    <xf numFmtId="168" fontId="0" fillId="0" borderId="8" xfId="0" applyNumberFormat="1" applyFont="1" applyBorder="1"/>
    <xf numFmtId="168" fontId="0" fillId="0" borderId="11" xfId="0" applyNumberFormat="1" applyFont="1" applyBorder="1"/>
    <xf numFmtId="0" fontId="0" fillId="0" borderId="7" xfId="0" applyFont="1" applyBorder="1" applyAlignment="1">
      <alignment horizontal="center"/>
    </xf>
    <xf numFmtId="0" fontId="0" fillId="0" borderId="7" xfId="0" applyFont="1" applyFill="1" applyBorder="1" applyAlignment="1">
      <alignment horizontal="center"/>
    </xf>
    <xf numFmtId="0" fontId="0" fillId="0" borderId="9" xfId="0" applyFont="1" applyBorder="1" applyAlignment="1">
      <alignment horizontal="center"/>
    </xf>
    <xf numFmtId="0" fontId="1" fillId="10" borderId="35" xfId="0" applyFont="1" applyFill="1" applyBorder="1" applyAlignment="1">
      <alignment horizontal="center"/>
    </xf>
    <xf numFmtId="0" fontId="1" fillId="10" borderId="36" xfId="0" applyFont="1" applyFill="1" applyBorder="1" applyAlignment="1">
      <alignment horizontal="left"/>
    </xf>
    <xf numFmtId="0" fontId="1" fillId="2" borderId="16" xfId="0" applyFont="1" applyFill="1" applyBorder="1" applyAlignment="1">
      <alignment horizontal="center"/>
    </xf>
    <xf numFmtId="0" fontId="1" fillId="2" borderId="17" xfId="0" applyFont="1" applyFill="1" applyBorder="1" applyAlignment="1">
      <alignment horizontal="center" wrapText="1"/>
    </xf>
    <xf numFmtId="164" fontId="1" fillId="2" borderId="18" xfId="0" applyNumberFormat="1" applyFont="1" applyFill="1" applyBorder="1" applyAlignment="1">
      <alignment horizontal="center" vertical="center" wrapText="1"/>
    </xf>
    <xf numFmtId="0" fontId="4" fillId="0" borderId="0" xfId="0" applyFont="1" applyAlignment="1">
      <alignment horizontal="center"/>
    </xf>
    <xf numFmtId="168" fontId="0" fillId="0" borderId="0" xfId="0" applyNumberFormat="1" applyFill="1" applyBorder="1"/>
    <xf numFmtId="0" fontId="1" fillId="9" borderId="4" xfId="0" applyFont="1" applyFill="1" applyBorder="1" applyAlignment="1">
      <alignment horizontal="center" vertical="center"/>
    </xf>
    <xf numFmtId="0" fontId="1" fillId="9" borderId="5" xfId="0" applyFont="1" applyFill="1" applyBorder="1" applyAlignment="1">
      <alignment horizontal="center" vertical="center"/>
    </xf>
    <xf numFmtId="0" fontId="1" fillId="9" borderId="6" xfId="0" applyFont="1" applyFill="1" applyBorder="1" applyAlignment="1">
      <alignment horizontal="center" vertical="center"/>
    </xf>
    <xf numFmtId="0" fontId="4" fillId="0" borderId="0" xfId="0" applyFont="1" applyAlignment="1">
      <alignment horizontal="center"/>
    </xf>
    <xf numFmtId="0" fontId="1" fillId="9" borderId="10" xfId="0" applyFont="1" applyFill="1" applyBorder="1" applyAlignment="1">
      <alignment horizontal="center"/>
    </xf>
    <xf numFmtId="0" fontId="1" fillId="11" borderId="30" xfId="0" applyFont="1" applyFill="1" applyBorder="1" applyAlignment="1">
      <alignment horizontal="center"/>
    </xf>
    <xf numFmtId="169" fontId="0" fillId="0" borderId="7" xfId="0" applyNumberFormat="1" applyBorder="1"/>
    <xf numFmtId="169" fontId="0" fillId="4" borderId="0" xfId="0" applyNumberFormat="1" applyFill="1" applyBorder="1" applyAlignment="1">
      <alignment horizontal="right"/>
    </xf>
    <xf numFmtId="169" fontId="0" fillId="4" borderId="0" xfId="0" applyNumberFormat="1" applyFill="1" applyBorder="1"/>
    <xf numFmtId="169" fontId="0" fillId="4" borderId="8" xfId="0" applyNumberFormat="1" applyFill="1" applyBorder="1"/>
    <xf numFmtId="169" fontId="0" fillId="0" borderId="0" xfId="0" applyNumberFormat="1" applyBorder="1" applyAlignment="1">
      <alignment horizontal="right" vertical="center"/>
    </xf>
    <xf numFmtId="169" fontId="0" fillId="0" borderId="0" xfId="0" applyNumberFormat="1" applyBorder="1"/>
    <xf numFmtId="169" fontId="0" fillId="0" borderId="8" xfId="0" applyNumberFormat="1" applyBorder="1"/>
    <xf numFmtId="169" fontId="0" fillId="0" borderId="9" xfId="0" applyNumberFormat="1" applyBorder="1"/>
    <xf numFmtId="169" fontId="0" fillId="0" borderId="10" xfId="0" applyNumberFormat="1" applyBorder="1" applyAlignment="1">
      <alignment horizontal="right" vertical="center"/>
    </xf>
    <xf numFmtId="169" fontId="0" fillId="0" borderId="10" xfId="0" applyNumberFormat="1" applyBorder="1"/>
    <xf numFmtId="169" fontId="0" fillId="0" borderId="11" xfId="0" applyNumberFormat="1" applyBorder="1"/>
    <xf numFmtId="169" fontId="0" fillId="0" borderId="0" xfId="0" applyNumberFormat="1" applyFont="1" applyBorder="1"/>
    <xf numFmtId="169" fontId="0" fillId="0" borderId="8" xfId="0" applyNumberFormat="1" applyFont="1" applyBorder="1"/>
    <xf numFmtId="169" fontId="0" fillId="0" borderId="10" xfId="0" applyNumberFormat="1" applyFont="1" applyBorder="1"/>
    <xf numFmtId="169" fontId="0" fillId="0" borderId="11" xfId="0" applyNumberFormat="1" applyFont="1" applyBorder="1"/>
    <xf numFmtId="0" fontId="1" fillId="12" borderId="0" xfId="0" applyFont="1" applyFill="1" applyAlignment="1">
      <alignment horizontal="left"/>
    </xf>
    <xf numFmtId="165" fontId="1" fillId="12" borderId="0" xfId="0" applyNumberFormat="1" applyFont="1" applyFill="1" applyAlignment="1">
      <alignment horizontal="center"/>
    </xf>
    <xf numFmtId="167" fontId="6" fillId="0" borderId="21" xfId="0" applyNumberFormat="1" applyFont="1" applyFill="1" applyBorder="1" applyAlignment="1">
      <alignment horizontal="right" vertical="center" wrapText="1"/>
    </xf>
    <xf numFmtId="167" fontId="6" fillId="0" borderId="19" xfId="0" applyNumberFormat="1" applyFont="1" applyFill="1" applyBorder="1" applyAlignment="1">
      <alignment horizontal="right" vertical="center" wrapText="1"/>
    </xf>
    <xf numFmtId="167" fontId="6" fillId="0" borderId="27" xfId="0" applyNumberFormat="1" applyFont="1" applyFill="1" applyBorder="1" applyAlignment="1">
      <alignment horizontal="right" vertical="center" wrapText="1"/>
    </xf>
    <xf numFmtId="167" fontId="6" fillId="0" borderId="22" xfId="0" applyNumberFormat="1" applyFont="1" applyFill="1" applyBorder="1" applyAlignment="1">
      <alignment horizontal="right" vertical="center" wrapText="1"/>
    </xf>
    <xf numFmtId="167" fontId="6" fillId="0" borderId="20" xfId="0" applyNumberFormat="1" applyFont="1" applyFill="1" applyBorder="1" applyAlignment="1">
      <alignment horizontal="right" vertical="center" wrapText="1"/>
    </xf>
    <xf numFmtId="167" fontId="6" fillId="0" borderId="28" xfId="0" applyNumberFormat="1" applyFont="1" applyFill="1" applyBorder="1" applyAlignment="1">
      <alignment horizontal="right" vertical="center" wrapText="1"/>
    </xf>
    <xf numFmtId="0" fontId="1" fillId="0" borderId="37" xfId="0" applyFont="1" applyBorder="1" applyAlignment="1">
      <alignment horizontal="center" vertical="center"/>
    </xf>
    <xf numFmtId="0" fontId="1" fillId="0" borderId="32" xfId="0" applyFont="1" applyBorder="1" applyAlignment="1">
      <alignment horizontal="center" vertical="center"/>
    </xf>
    <xf numFmtId="0" fontId="1" fillId="0" borderId="33" xfId="0" applyFont="1" applyBorder="1" applyAlignment="1">
      <alignment horizontal="center" vertical="center"/>
    </xf>
    <xf numFmtId="49" fontId="6" fillId="2" borderId="6" xfId="0" applyNumberFormat="1" applyFont="1" applyFill="1" applyBorder="1" applyAlignment="1">
      <alignment horizontal="right" vertical="center" wrapText="1"/>
    </xf>
    <xf numFmtId="49" fontId="6" fillId="2" borderId="8" xfId="0" applyNumberFormat="1" applyFont="1" applyFill="1" applyBorder="1" applyAlignment="1">
      <alignment horizontal="right" vertical="center" wrapText="1"/>
    </xf>
    <xf numFmtId="49" fontId="6" fillId="2" borderId="11" xfId="0" applyNumberFormat="1" applyFont="1" applyFill="1" applyBorder="1" applyAlignment="1">
      <alignment horizontal="right" vertical="center" wrapText="1"/>
    </xf>
    <xf numFmtId="14" fontId="0" fillId="7" borderId="6" xfId="0" applyNumberFormat="1" applyFont="1" applyFill="1" applyBorder="1"/>
    <xf numFmtId="14" fontId="0" fillId="7" borderId="8" xfId="0" applyNumberFormat="1" applyFont="1" applyFill="1" applyBorder="1"/>
    <xf numFmtId="14" fontId="0" fillId="7" borderId="11" xfId="0" applyNumberFormat="1" applyFont="1" applyFill="1" applyBorder="1"/>
    <xf numFmtId="0" fontId="7" fillId="0" borderId="37" xfId="0" applyFont="1" applyBorder="1" applyAlignment="1">
      <alignment horizontal="center" vertical="center"/>
    </xf>
    <xf numFmtId="0" fontId="7" fillId="0" borderId="32" xfId="0" applyFont="1" applyBorder="1" applyAlignment="1">
      <alignment horizontal="center" vertical="center"/>
    </xf>
    <xf numFmtId="0" fontId="7" fillId="0" borderId="33" xfId="0" applyFont="1" applyBorder="1" applyAlignment="1">
      <alignment horizontal="center" vertical="center"/>
    </xf>
  </cellXfs>
  <cellStyles count="1">
    <cellStyle name="Normal" xfId="0" builtinId="0"/>
  </cellStyles>
  <dxfs count="0"/>
  <tableStyles count="0" defaultTableStyle="TableStyleMedium2" defaultPivotStyle="PivotStyleLight16"/>
  <colors>
    <mruColors>
      <color rgb="FFFFCCFF"/>
      <color rgb="FFCC3399"/>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Part1 - Stage 2.1, Trend of Term Structure</a:t>
            </a:r>
            <a:r>
              <a:rPr lang="en-US" baseline="0"/>
              <a:t> with </a:t>
            </a:r>
            <a:r>
              <a:rPr lang="en-US"/>
              <a:t>Ref: 18-Jun-25</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'Part 1'!$H$4</c:f>
              <c:strCache>
                <c:ptCount val="1"/>
                <c:pt idx="0">
                  <c:v>Term Structure
Ref: 18-Jun-25</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dLbl>
              <c:idx val="8"/>
              <c:layout>
                <c:manualLayout>
                  <c:x val="0"/>
                  <c:y val="7.8051538598636866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956EEAE3-72BA-4A3A-9551-50086AC177D5}" type="CATEGORYNAME">
                      <a:rPr lang="en-US"/>
                      <a:pPr>
                        <a:defRPr/>
                      </a:pPr>
                      <a:t>[CATEGORY NAME]</a:t>
                    </a:fld>
                    <a:r>
                      <a:rPr lang="en-US"/>
                      <a:t> (Sep-27)</a:t>
                    </a:r>
                    <a:r>
                      <a:rPr lang="en-US" baseline="0"/>
                      <a:t>, </a:t>
                    </a:r>
                    <a:fld id="{7070A4D1-AC1E-41B3-8600-6B735FE2EDE0}" type="VALUE">
                      <a:rPr lang="en-US" baseline="0"/>
                      <a:pPr>
                        <a:defRPr/>
                      </a:pPr>
                      <a:t>[VALUE]</a:t>
                    </a:fld>
                    <a:endParaRPr lang="en-US" baseline="0"/>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15:dlblFieldTable/>
                  <c15:showDataLabelsRange val="0"/>
                </c:ext>
                <c:ext xmlns:c16="http://schemas.microsoft.com/office/drawing/2014/chart" uri="{C3380CC4-5D6E-409C-BE32-E72D297353CC}">
                  <c16:uniqueId val="{00000002-BBE2-42CD-BCFC-F4F825D32A9D}"/>
                </c:ext>
              </c:extLst>
            </c:dLbl>
            <c:dLbl>
              <c:idx val="36"/>
              <c:layout>
                <c:manualLayout>
                  <c:x val="-2.7584169727351117E-3"/>
                  <c:y val="0.1055991404569793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 xmlns:c16="http://schemas.microsoft.com/office/drawing/2014/chart" uri="{C3380CC4-5D6E-409C-BE32-E72D297353CC}">
                  <c16:uniqueId val="{00000003-BBE2-42CD-BCFC-F4F825D32A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'Part 1'!$H$5:$H$41</c:f>
              <c:numCache>
                <c:formatCode>0.0000</c:formatCode>
                <c:ptCount val="37"/>
                <c:pt idx="0">
                  <c:v>4.0300000000000011</c:v>
                </c:pt>
                <c:pt idx="1">
                  <c:v>3.8762694451388753</c:v>
                </c:pt>
                <c:pt idx="2">
                  <c:v>3.751617846472366</c:v>
                </c:pt>
                <c:pt idx="3">
                  <c:v>3.6531855085304041</c:v>
                </c:pt>
                <c:pt idx="4">
                  <c:v>3.5799669495720057</c:v>
                </c:pt>
                <c:pt idx="5">
                  <c:v>3.5294472466620506</c:v>
                </c:pt>
                <c:pt idx="6">
                  <c:v>3.4978239318117921</c:v>
                </c:pt>
                <c:pt idx="7">
                  <c:v>3.4813706656383339</c:v>
                </c:pt>
                <c:pt idx="8">
                  <c:v>3.4763280777313463</c:v>
                </c:pt>
                <c:pt idx="9">
                  <c:v>3.4793983706829392</c:v>
                </c:pt>
                <c:pt idx="10">
                  <c:v>3.4884858187571819</c:v>
                </c:pt>
                <c:pt idx="11">
                  <c:v>3.503156552908937</c:v>
                </c:pt>
                <c:pt idx="12">
                  <c:v>3.5205339838552239</c:v>
                </c:pt>
                <c:pt idx="13">
                  <c:v>3.5408721393873845</c:v>
                </c:pt>
                <c:pt idx="14">
                  <c:v>3.5636761408981679</c:v>
                </c:pt>
                <c:pt idx="15">
                  <c:v>3.5882232151826741</c:v>
                </c:pt>
                <c:pt idx="16">
                  <c:v>3.6146212515166565</c:v>
                </c:pt>
                <c:pt idx="17">
                  <c:v>3.642967334213798</c:v>
                </c:pt>
                <c:pt idx="18">
                  <c:v>3.6730454416988301</c:v>
                </c:pt>
                <c:pt idx="19">
                  <c:v>3.7047188564332867</c:v>
                </c:pt>
                <c:pt idx="20">
                  <c:v>3.73687930546278</c:v>
                </c:pt>
                <c:pt idx="21">
                  <c:v>3.7704769063216084</c:v>
                </c:pt>
                <c:pt idx="22">
                  <c:v>3.804830802049175</c:v>
                </c:pt>
                <c:pt idx="23">
                  <c:v>3.8396597275058286</c:v>
                </c:pt>
                <c:pt idx="24">
                  <c:v>3.8749653942439255</c:v>
                </c:pt>
                <c:pt idx="25">
                  <c:v>3.9109893373264648</c:v>
                </c:pt>
                <c:pt idx="26">
                  <c:v>3.9472508523432364</c:v>
                </c:pt>
                <c:pt idx="27">
                  <c:v>3.9837738888327103</c:v>
                </c:pt>
                <c:pt idx="28">
                  <c:v>4.0205800878269446</c:v>
                </c:pt>
                <c:pt idx="29">
                  <c:v>4.0574738202642031</c:v>
                </c:pt>
                <c:pt idx="30">
                  <c:v>4.095119331212473</c:v>
                </c:pt>
                <c:pt idx="31">
                  <c:v>4.1322693459582336</c:v>
                </c:pt>
                <c:pt idx="32">
                  <c:v>4.171507134434953</c:v>
                </c:pt>
                <c:pt idx="33">
                  <c:v>4.2070339912636534</c:v>
                </c:pt>
                <c:pt idx="34">
                  <c:v>4.2410736579679424</c:v>
                </c:pt>
                <c:pt idx="35">
                  <c:v>4.2791076133987662</c:v>
                </c:pt>
                <c:pt idx="36">
                  <c:v>4.314071815248079</c:v>
                </c:pt>
              </c:numCache>
            </c:numRef>
          </c:val>
          <c:smooth val="0"/>
          <c:extLst>
            <c:ext xmlns:c16="http://schemas.microsoft.com/office/drawing/2014/chart" uri="{C3380CC4-5D6E-409C-BE32-E72D297353CC}">
              <c16:uniqueId val="{00000000-BBE2-42CD-BCFC-F4F825D32A9D}"/>
            </c:ext>
          </c:extLst>
        </c:ser>
        <c:dLbls>
          <c:showLegendKey val="0"/>
          <c:showVal val="1"/>
          <c:showCatName val="0"/>
          <c:showSerName val="0"/>
          <c:showPercent val="0"/>
          <c:showBubbleSize val="0"/>
        </c:dLbls>
        <c:marker val="1"/>
        <c:smooth val="0"/>
        <c:axId val="1514992223"/>
        <c:axId val="1514994719"/>
      </c:lineChart>
      <c:catAx>
        <c:axId val="151499222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994719"/>
        <c:crosses val="autoZero"/>
        <c:auto val="1"/>
        <c:lblAlgn val="ctr"/>
        <c:lblOffset val="100"/>
        <c:noMultiLvlLbl val="0"/>
      </c:catAx>
      <c:valAx>
        <c:axId val="1514994719"/>
        <c:scaling>
          <c:orientation val="minMax"/>
          <c:min val="3"/>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9922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Part1</a:t>
            </a:r>
            <a:r>
              <a:rPr lang="en-US" baseline="0"/>
              <a:t> - Stage2.3, </a:t>
            </a:r>
            <a:r>
              <a:rPr lang="en-US"/>
              <a:t>Comparing</a:t>
            </a:r>
            <a:r>
              <a:rPr lang="en-US" baseline="0"/>
              <a:t> Graphs of Term structure with difference Reference Dates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'Part 1'!$H$4</c:f>
              <c:strCache>
                <c:ptCount val="1"/>
                <c:pt idx="0">
                  <c:v>Term Structure
Ref: 18-Jun-25</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'Part 1'!$H$5:$H$41</c:f>
              <c:numCache>
                <c:formatCode>0.0000</c:formatCode>
                <c:ptCount val="37"/>
                <c:pt idx="0">
                  <c:v>4.0300000000000011</c:v>
                </c:pt>
                <c:pt idx="1">
                  <c:v>3.8762694451388753</c:v>
                </c:pt>
                <c:pt idx="2">
                  <c:v>3.751617846472366</c:v>
                </c:pt>
                <c:pt idx="3">
                  <c:v>3.6531855085304041</c:v>
                </c:pt>
                <c:pt idx="4">
                  <c:v>3.5799669495720057</c:v>
                </c:pt>
                <c:pt idx="5">
                  <c:v>3.5294472466620506</c:v>
                </c:pt>
                <c:pt idx="6">
                  <c:v>3.4978239318117921</c:v>
                </c:pt>
                <c:pt idx="7">
                  <c:v>3.4813706656383339</c:v>
                </c:pt>
                <c:pt idx="8">
                  <c:v>3.4763280777313463</c:v>
                </c:pt>
                <c:pt idx="9">
                  <c:v>3.4793983706829392</c:v>
                </c:pt>
                <c:pt idx="10">
                  <c:v>3.4884858187571819</c:v>
                </c:pt>
                <c:pt idx="11">
                  <c:v>3.503156552908937</c:v>
                </c:pt>
                <c:pt idx="12">
                  <c:v>3.5205339838552239</c:v>
                </c:pt>
                <c:pt idx="13">
                  <c:v>3.5408721393873845</c:v>
                </c:pt>
                <c:pt idx="14">
                  <c:v>3.5636761408981679</c:v>
                </c:pt>
                <c:pt idx="15">
                  <c:v>3.5882232151826741</c:v>
                </c:pt>
                <c:pt idx="16">
                  <c:v>3.6146212515166565</c:v>
                </c:pt>
                <c:pt idx="17">
                  <c:v>3.642967334213798</c:v>
                </c:pt>
                <c:pt idx="18">
                  <c:v>3.6730454416988301</c:v>
                </c:pt>
                <c:pt idx="19">
                  <c:v>3.7047188564332867</c:v>
                </c:pt>
                <c:pt idx="20">
                  <c:v>3.73687930546278</c:v>
                </c:pt>
                <c:pt idx="21">
                  <c:v>3.7704769063216084</c:v>
                </c:pt>
                <c:pt idx="22">
                  <c:v>3.804830802049175</c:v>
                </c:pt>
                <c:pt idx="23">
                  <c:v>3.8396597275058286</c:v>
                </c:pt>
                <c:pt idx="24">
                  <c:v>3.8749653942439255</c:v>
                </c:pt>
                <c:pt idx="25">
                  <c:v>3.9109893373264648</c:v>
                </c:pt>
                <c:pt idx="26">
                  <c:v>3.9472508523432364</c:v>
                </c:pt>
                <c:pt idx="27">
                  <c:v>3.9837738888327103</c:v>
                </c:pt>
                <c:pt idx="28">
                  <c:v>4.0205800878269446</c:v>
                </c:pt>
                <c:pt idx="29">
                  <c:v>4.0574738202642031</c:v>
                </c:pt>
                <c:pt idx="30">
                  <c:v>4.095119331212473</c:v>
                </c:pt>
                <c:pt idx="31">
                  <c:v>4.1322693459582336</c:v>
                </c:pt>
                <c:pt idx="32">
                  <c:v>4.171507134434953</c:v>
                </c:pt>
                <c:pt idx="33">
                  <c:v>4.2070339912636534</c:v>
                </c:pt>
                <c:pt idx="34">
                  <c:v>4.2410736579679424</c:v>
                </c:pt>
                <c:pt idx="35">
                  <c:v>4.2791076133987662</c:v>
                </c:pt>
                <c:pt idx="36">
                  <c:v>4.314071815248079</c:v>
                </c:pt>
              </c:numCache>
            </c:numRef>
          </c:val>
          <c:smooth val="0"/>
          <c:extLst>
            <c:ext xmlns:c16="http://schemas.microsoft.com/office/drawing/2014/chart" uri="{C3380CC4-5D6E-409C-BE32-E72D297353CC}">
              <c16:uniqueId val="{00000002-A35B-4E25-B5D7-7C5CA9FF9E9A}"/>
            </c:ext>
          </c:extLst>
        </c:ser>
        <c:ser>
          <c:idx val="1"/>
          <c:order val="1"/>
          <c:tx>
            <c:strRef>
              <c:f>'Part 1'!$I$4</c:f>
              <c:strCache>
                <c:ptCount val="1"/>
                <c:pt idx="0">
                  <c:v>Term Structure
Ref: 17-Sep-25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'Part 1'!$I$5:$I$41</c:f>
              <c:numCache>
                <c:formatCode>0.0000</c:formatCode>
                <c:ptCount val="37"/>
                <c:pt idx="1">
                  <c:v>3.6850000000000023</c:v>
                </c:pt>
                <c:pt idx="2">
                  <c:v>3.5759982739583425</c:v>
                </c:pt>
                <c:pt idx="3">
                  <c:v>3.4920077886975376</c:v>
                </c:pt>
                <c:pt idx="4">
                  <c:v>3.4324920808315902</c:v>
                </c:pt>
                <c:pt idx="5">
                  <c:v>3.3947545202937008</c:v>
                </c:pt>
                <c:pt idx="6">
                  <c:v>3.3747495344259715</c:v>
                </c:pt>
                <c:pt idx="7">
                  <c:v>3.3686785056554895</c:v>
                </c:pt>
                <c:pt idx="8">
                  <c:v>3.3727609589346939</c:v>
                </c:pt>
                <c:pt idx="9">
                  <c:v>3.3837503351914564</c:v>
                </c:pt>
                <c:pt idx="10">
                  <c:v>3.3997018269936325</c:v>
                </c:pt>
                <c:pt idx="11">
                  <c:v>3.4207473342166241</c:v>
                </c:pt>
                <c:pt idx="12">
                  <c:v>3.4432724743129359</c:v>
                </c:pt>
                <c:pt idx="13">
                  <c:v>3.4681385098386994</c:v>
                </c:pt>
                <c:pt idx="14">
                  <c:v>3.4949464837113968</c:v>
                </c:pt>
                <c:pt idx="15">
                  <c:v>3.5230327547916893</c:v>
                </c:pt>
                <c:pt idx="16">
                  <c:v>3.5525942159577535</c:v>
                </c:pt>
                <c:pt idx="17">
                  <c:v>3.5837953352102359</c:v>
                </c:pt>
                <c:pt idx="18">
                  <c:v>3.6164583589365904</c:v>
                </c:pt>
                <c:pt idx="19">
                  <c:v>3.650490303198624</c:v>
                </c:pt>
                <c:pt idx="20">
                  <c:v>3.6847431503609052</c:v>
                </c:pt>
                <c:pt idx="21">
                  <c:v>3.7202656275738488</c:v>
                </c:pt>
                <c:pt idx="22">
                  <c:v>3.7563656125913503</c:v>
                </c:pt>
                <c:pt idx="23">
                  <c:v>3.7927748622193724</c:v>
                </c:pt>
                <c:pt idx="24">
                  <c:v>3.8295151986854812</c:v>
                </c:pt>
                <c:pt idx="25">
                  <c:v>3.8668521057783773</c:v>
                </c:pt>
                <c:pt idx="26">
                  <c:v>3.9043046466644049</c:v>
                </c:pt>
                <c:pt idx="27">
                  <c:v>3.941910649706311</c:v>
                </c:pt>
                <c:pt idx="28">
                  <c:v>3.9797035649838683</c:v>
                </c:pt>
                <c:pt idx="29">
                  <c:v>4.017492712035228</c:v>
                </c:pt>
                <c:pt idx="30">
                  <c:v>4.0559665184738689</c:v>
                </c:pt>
                <c:pt idx="31">
                  <c:v>4.0938563045113767</c:v>
                </c:pt>
                <c:pt idx="32">
                  <c:v>4.1337973104762318</c:v>
                </c:pt>
                <c:pt idx="33">
                  <c:v>4.1698952721454594</c:v>
                </c:pt>
                <c:pt idx="34">
                  <c:v>4.2044373236415282</c:v>
                </c:pt>
                <c:pt idx="35">
                  <c:v>4.2429709165894174</c:v>
                </c:pt>
                <c:pt idx="36">
                  <c:v>4.2783458492953299</c:v>
                </c:pt>
              </c:numCache>
            </c:numRef>
          </c:val>
          <c:smooth val="0"/>
          <c:extLst>
            <c:ext xmlns:c16="http://schemas.microsoft.com/office/drawing/2014/chart" uri="{C3380CC4-5D6E-409C-BE32-E72D297353CC}">
              <c16:uniqueId val="{00000005-A35B-4E25-B5D7-7C5CA9FF9E9A}"/>
            </c:ext>
          </c:extLst>
        </c:ser>
        <c:ser>
          <c:idx val="2"/>
          <c:order val="2"/>
          <c:tx>
            <c:strRef>
              <c:f>'Part 1'!$J$4</c:f>
              <c:strCache>
                <c:ptCount val="1"/>
                <c:pt idx="0">
                  <c:v>Term Structure
Ref: 17-Dec-25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'Part 1'!$J$5:$J$41</c:f>
              <c:numCache>
                <c:formatCode>0.0000</c:formatCode>
                <c:ptCount val="37"/>
                <c:pt idx="2">
                  <c:v>3.4350000000000018</c:v>
                </c:pt>
                <c:pt idx="3">
                  <c:v>3.3641748614583049</c:v>
                </c:pt>
                <c:pt idx="4">
                  <c:v>3.3174214543478602</c:v>
                </c:pt>
                <c:pt idx="5">
                  <c:v>3.2915329778359572</c:v>
                </c:pt>
                <c:pt idx="6">
                  <c:v>3.2821268852262531</c:v>
                </c:pt>
                <c:pt idx="7">
                  <c:v>3.2853556252482896</c:v>
                </c:pt>
                <c:pt idx="8">
                  <c:v>3.2974401843007066</c:v>
                </c:pt>
                <c:pt idx="9">
                  <c:v>3.3152133749490482</c:v>
                </c:pt>
                <c:pt idx="10">
                  <c:v>3.3369190921109073</c:v>
                </c:pt>
                <c:pt idx="11">
                  <c:v>3.3631960828295044</c:v>
                </c:pt>
                <c:pt idx="12">
                  <c:v>3.3898736482485377</c:v>
                </c:pt>
                <c:pt idx="13">
                  <c:v>3.4183404593308366</c:v>
                </c:pt>
                <c:pt idx="14">
                  <c:v>3.4482926127662372</c:v>
                </c:pt>
                <c:pt idx="15">
                  <c:v>3.4791193711819672</c:v>
                </c:pt>
                <c:pt idx="16">
                  <c:v>3.5111067281502302</c:v>
                </c:pt>
                <c:pt idx="17">
                  <c:v>3.5444839326703543</c:v>
                </c:pt>
                <c:pt idx="18">
                  <c:v>3.5791057859367066</c:v>
                </c:pt>
                <c:pt idx="19">
                  <c:v>3.6149100310827076</c:v>
                </c:pt>
                <c:pt idx="20">
                  <c:v>3.6507237022272472</c:v>
                </c:pt>
                <c:pt idx="21">
                  <c:v>3.6876720005764891</c:v>
                </c:pt>
                <c:pt idx="22">
                  <c:v>3.7250532189468508</c:v>
                </c:pt>
                <c:pt idx="23">
                  <c:v>3.7626084750430118</c:v>
                </c:pt>
                <c:pt idx="24">
                  <c:v>3.8003775350530491</c:v>
                </c:pt>
                <c:pt idx="25">
                  <c:v>3.8386485901664216</c:v>
                </c:pt>
                <c:pt idx="26">
                  <c:v>3.8769367961922936</c:v>
                </c:pt>
                <c:pt idx="27">
                  <c:v>3.9152922767536436</c:v>
                </c:pt>
                <c:pt idx="28">
                  <c:v>3.9537587894726176</c:v>
                </c:pt>
                <c:pt idx="29">
                  <c:v>3.9921486083951914</c:v>
                </c:pt>
                <c:pt idx="30">
                  <c:v>4.0311747929412141</c:v>
                </c:pt>
                <c:pt idx="31">
                  <c:v>4.0695427667273663</c:v>
                </c:pt>
                <c:pt idx="32">
                  <c:v>4.1099198177912379</c:v>
                </c:pt>
                <c:pt idx="33">
                  <c:v>4.1463530443903638</c:v>
                </c:pt>
                <c:pt idx="34">
                  <c:v>4.1811940013273921</c:v>
                </c:pt>
                <c:pt idx="35">
                  <c:v>4.2199991964817265</c:v>
                </c:pt>
                <c:pt idx="36">
                  <c:v>4.2555842204703263</c:v>
                </c:pt>
              </c:numCache>
            </c:numRef>
          </c:val>
          <c:smooth val="0"/>
          <c:extLst>
            <c:ext xmlns:c16="http://schemas.microsoft.com/office/drawing/2014/chart" uri="{C3380CC4-5D6E-409C-BE32-E72D297353CC}">
              <c16:uniqueId val="{00000006-A35B-4E25-B5D7-7C5CA9FF9E9A}"/>
            </c:ext>
          </c:extLst>
        </c:ser>
        <c:ser>
          <c:idx val="3"/>
          <c:order val="3"/>
          <c:tx>
            <c:strRef>
              <c:f>'Part 1'!$K$4</c:f>
              <c:strCache>
                <c:ptCount val="1"/>
                <c:pt idx="0">
                  <c:v>Term Structure
Ref: 18-Mar-26</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'Part 1'!$K$5:$K$41</c:f>
              <c:numCache>
                <c:formatCode>0.0000</c:formatCode>
                <c:ptCount val="37"/>
                <c:pt idx="3">
                  <c:v>3.2650000000000006</c:v>
                </c:pt>
                <c:pt idx="4">
                  <c:v>3.2305813131944507</c:v>
                </c:pt>
                <c:pt idx="5">
                  <c:v>3.2157882160173075</c:v>
                </c:pt>
                <c:pt idx="6">
                  <c:v>3.2159844812805871</c:v>
                </c:pt>
                <c:pt idx="7">
                  <c:v>3.2274034748759108</c:v>
                </c:pt>
                <c:pt idx="8">
                  <c:v>3.2463259704763567</c:v>
                </c:pt>
                <c:pt idx="9">
                  <c:v>3.2697103772123146</c:v>
                </c:pt>
                <c:pt idx="10">
                  <c:v>3.296039740230341</c:v>
                </c:pt>
                <c:pt idx="11">
                  <c:v>3.3264026051648785</c:v>
                </c:pt>
                <c:pt idx="12">
                  <c:v>3.3562533921538664</c:v>
                </c:pt>
                <c:pt idx="13">
                  <c:v>3.3874237548424508</c:v>
                </c:pt>
                <c:pt idx="14">
                  <c:v>3.4197003022206593</c:v>
                </c:pt>
                <c:pt idx="15">
                  <c:v>3.4525153027843598</c:v>
                </c:pt>
                <c:pt idx="16">
                  <c:v>3.4862424642384502</c:v>
                </c:pt>
                <c:pt idx="17">
                  <c:v>3.5211715826608918</c:v>
                </c:pt>
                <c:pt idx="18">
                  <c:v>3.5571825837791753</c:v>
                </c:pt>
                <c:pt idx="19">
                  <c:v>3.5942301274014961</c:v>
                </c:pt>
                <c:pt idx="20">
                  <c:v>3.6311285670858595</c:v>
                </c:pt>
                <c:pt idx="21">
                  <c:v>3.6690587722678103</c:v>
                </c:pt>
                <c:pt idx="22">
                  <c:v>3.7073100499224618</c:v>
                </c:pt>
                <c:pt idx="23">
                  <c:v>3.7456289587241653</c:v>
                </c:pt>
                <c:pt idx="24">
                  <c:v>3.7840709641468093</c:v>
                </c:pt>
                <c:pt idx="25">
                  <c:v>3.8229457100520636</c:v>
                </c:pt>
                <c:pt idx="26">
                  <c:v>3.8617606526564328</c:v>
                </c:pt>
                <c:pt idx="27">
                  <c:v>3.9005766542155929</c:v>
                </c:pt>
                <c:pt idx="28">
                  <c:v>3.9394463103530475</c:v>
                </c:pt>
                <c:pt idx="29">
                  <c:v>3.9781828889908324</c:v>
                </c:pt>
                <c:pt idx="30">
                  <c:v>4.0175245845297525</c:v>
                </c:pt>
                <c:pt idx="31">
                  <c:v>4.0561464842020571</c:v>
                </c:pt>
                <c:pt idx="32">
                  <c:v>4.0967307907075332</c:v>
                </c:pt>
                <c:pt idx="33">
                  <c:v>4.1332975209685561</c:v>
                </c:pt>
                <c:pt idx="34">
                  <c:v>4.1682639554844902</c:v>
                </c:pt>
                <c:pt idx="35">
                  <c:v>4.2071463651521359</c:v>
                </c:pt>
                <c:pt idx="36">
                  <c:v>4.2427707105184522</c:v>
                </c:pt>
              </c:numCache>
            </c:numRef>
          </c:val>
          <c:smooth val="0"/>
          <c:extLst>
            <c:ext xmlns:c16="http://schemas.microsoft.com/office/drawing/2014/chart" uri="{C3380CC4-5D6E-409C-BE32-E72D297353CC}">
              <c16:uniqueId val="{00000007-A35B-4E25-B5D7-7C5CA9FF9E9A}"/>
            </c:ext>
          </c:extLst>
        </c:ser>
        <c:ser>
          <c:idx val="4"/>
          <c:order val="4"/>
          <c:tx>
            <c:strRef>
              <c:f>'Part 1'!$L$4</c:f>
              <c:strCache>
                <c:ptCount val="1"/>
                <c:pt idx="0">
                  <c:v>Term Structure
Ref: 17-Jun-26</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'Part 1'!$L$5:$L$41</c:f>
              <c:numCache>
                <c:formatCode>0.0000</c:formatCode>
                <c:ptCount val="37"/>
                <c:pt idx="4">
                  <c:v>3.1700000000000021</c:v>
                </c:pt>
                <c:pt idx="5">
                  <c:v>3.1650604645833003</c:v>
                </c:pt>
                <c:pt idx="6">
                  <c:v>3.1734548352249878</c:v>
                </c:pt>
                <c:pt idx="7">
                  <c:v>3.1916629288420264</c:v>
                </c:pt>
                <c:pt idx="8">
                  <c:v>3.2160484910323808</c:v>
                </c:pt>
                <c:pt idx="9">
                  <c:v>3.2437243522775066</c:v>
                </c:pt>
                <c:pt idx="10">
                  <c:v>3.2734575075194927</c:v>
                </c:pt>
                <c:pt idx="11">
                  <c:v>3.3067138798484699</c:v>
                </c:pt>
                <c:pt idx="12">
                  <c:v>3.3387513677279141</c:v>
                </c:pt>
                <c:pt idx="13">
                  <c:v>3.3717450098949699</c:v>
                </c:pt>
                <c:pt idx="14">
                  <c:v>3.4055595565146382</c:v>
                </c:pt>
                <c:pt idx="15">
                  <c:v>3.4396539150186562</c:v>
                </c:pt>
                <c:pt idx="16">
                  <c:v>3.4744854020042655</c:v>
                </c:pt>
                <c:pt idx="17">
                  <c:v>3.5103975702184917</c:v>
                </c:pt>
                <c:pt idx="18">
                  <c:v>3.5472856030347422</c:v>
                </c:pt>
                <c:pt idx="19">
                  <c:v>3.5851059915286601</c:v>
                </c:pt>
                <c:pt idx="20">
                  <c:v>3.622669928890343</c:v>
                </c:pt>
                <c:pt idx="21">
                  <c:v>3.6611944103027207</c:v>
                </c:pt>
                <c:pt idx="22">
                  <c:v>3.6999591748713589</c:v>
                </c:pt>
                <c:pt idx="23">
                  <c:v>3.7387120149163255</c:v>
                </c:pt>
                <c:pt idx="24">
                  <c:v>3.7775217967434744</c:v>
                </c:pt>
                <c:pt idx="25">
                  <c:v>3.8167183932106852</c:v>
                </c:pt>
                <c:pt idx="26">
                  <c:v>3.8557976333318895</c:v>
                </c:pt>
                <c:pt idx="27">
                  <c:v>3.8948296204416102</c:v>
                </c:pt>
                <c:pt idx="28">
                  <c:v>3.9338743784532624</c:v>
                </c:pt>
                <c:pt idx="29">
                  <c:v>3.9727442545132616</c:v>
                </c:pt>
                <c:pt idx="30">
                  <c:v>4.012203192564094</c:v>
                </c:pt>
                <c:pt idx="31">
                  <c:v>4.0508915088911017</c:v>
                </c:pt>
                <c:pt idx="32">
                  <c:v>4.0914919366696889</c:v>
                </c:pt>
                <c:pt idx="33">
                  <c:v>4.1280237195920062</c:v>
                </c:pt>
                <c:pt idx="34">
                  <c:v>4.1629715659937867</c:v>
                </c:pt>
                <c:pt idx="35">
                  <c:v>4.2017695468154797</c:v>
                </c:pt>
                <c:pt idx="36">
                  <c:v>4.2372914442940575</c:v>
                </c:pt>
              </c:numCache>
            </c:numRef>
          </c:val>
          <c:smooth val="0"/>
          <c:extLst>
            <c:ext xmlns:c16="http://schemas.microsoft.com/office/drawing/2014/chart" uri="{C3380CC4-5D6E-409C-BE32-E72D297353CC}">
              <c16:uniqueId val="{00000008-A35B-4E25-B5D7-7C5CA9FF9E9A}"/>
            </c:ext>
          </c:extLst>
        </c:ser>
        <c:dLbls>
          <c:showLegendKey val="0"/>
          <c:showVal val="0"/>
          <c:showCatName val="0"/>
          <c:showSerName val="0"/>
          <c:showPercent val="0"/>
          <c:showBubbleSize val="0"/>
        </c:dLbls>
        <c:marker val="1"/>
        <c:smooth val="0"/>
        <c:axId val="1514992223"/>
        <c:axId val="1514994719"/>
      </c:lineChart>
      <c:catAx>
        <c:axId val="151499222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994719"/>
        <c:crosses val="autoZero"/>
        <c:auto val="1"/>
        <c:lblAlgn val="ctr"/>
        <c:lblOffset val="100"/>
        <c:noMultiLvlLbl val="0"/>
      </c:catAx>
      <c:valAx>
        <c:axId val="1514994719"/>
        <c:scaling>
          <c:orientation val="minMax"/>
          <c:min val="3"/>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992223"/>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Plotof FRA</a:t>
            </a:r>
            <a:r>
              <a:rPr lang="en-US" baseline="0"/>
              <a:t> rates for </a:t>
            </a:r>
            <a:r>
              <a:rPr lang="en-US"/>
              <a:t>n=2</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n=2</c:v>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4"/>
              <c:layout>
                <c:manualLayout>
                  <c:x val="2.2253129346314324E-2"/>
                  <c:y val="4.1666666666666664E-2"/>
                </c:manualLayout>
              </c:layout>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1DC9-4E68-BE8C-6944CE62125F}"/>
                </c:ext>
              </c:extLst>
            </c:dLbl>
            <c:dLbl>
              <c:idx val="29"/>
              <c:layout>
                <c:manualLayout>
                  <c:x val="-9.2721372276311047E-3"/>
                  <c:y val="0.1111111111111111"/>
                </c:manualLayout>
              </c:layout>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1DC9-4E68-BE8C-6944CE62125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val>
            <c:numRef>
              <c:f>'Part 1'!$J$71:$J$100</c:f>
              <c:numCache>
                <c:formatCode>0.0000</c:formatCode>
                <c:ptCount val="30"/>
                <c:pt idx="0">
                  <c:v>3.5759982739583056</c:v>
                </c:pt>
                <c:pt idx="1">
                  <c:v>3.3641748614583036</c:v>
                </c:pt>
                <c:pt idx="2">
                  <c:v>3.2305813131944237</c:v>
                </c:pt>
                <c:pt idx="3">
                  <c:v>3.1650604645833122</c:v>
                </c:pt>
                <c:pt idx="4">
                  <c:v>3.1499415958333348</c:v>
                </c:pt>
                <c:pt idx="5">
                  <c:v>3.1675804972222434</c:v>
                </c:pt>
                <c:pt idx="6">
                  <c:v>3.2028609541666593</c:v>
                </c:pt>
                <c:pt idx="7">
                  <c:v>3.2431855208333307</c:v>
                </c:pt>
                <c:pt idx="8">
                  <c:v>3.2835141319444268</c:v>
                </c:pt>
                <c:pt idx="9">
                  <c:v>3.325100372222209</c:v>
                </c:pt>
                <c:pt idx="10">
                  <c:v>3.3639680611111258</c:v>
                </c:pt>
                <c:pt idx="11">
                  <c:v>3.4045242319444515</c:v>
                </c:pt>
                <c:pt idx="12">
                  <c:v>3.4448690208333153</c:v>
                </c:pt>
                <c:pt idx="13">
                  <c:v>3.4826960520833068</c:v>
                </c:pt>
                <c:pt idx="14">
                  <c:v>3.5205264010416459</c:v>
                </c:pt>
                <c:pt idx="15">
                  <c:v>3.563405093749989</c:v>
                </c:pt>
                <c:pt idx="16">
                  <c:v>3.6088111812500108</c:v>
                </c:pt>
                <c:pt idx="17">
                  <c:v>3.6519000866575557</c:v>
                </c:pt>
                <c:pt idx="18">
                  <c:v>3.691847262362641</c:v>
                </c:pt>
                <c:pt idx="19">
                  <c:v>3.7324568380524994</c:v>
                </c:pt>
                <c:pt idx="20">
                  <c:v>3.7702967562499801</c:v>
                </c:pt>
                <c:pt idx="21">
                  <c:v>3.8031064722222077</c:v>
                </c:pt>
                <c:pt idx="22">
                  <c:v>3.8333946388888851</c:v>
                </c:pt>
                <c:pt idx="23">
                  <c:v>3.8662092840277418</c:v>
                </c:pt>
                <c:pt idx="24">
                  <c:v>3.8965023798610567</c:v>
                </c:pt>
                <c:pt idx="25">
                  <c:v>3.9217482062499567</c:v>
                </c:pt>
                <c:pt idx="26">
                  <c:v>3.9469956124999714</c:v>
                </c:pt>
                <c:pt idx="27">
                  <c:v>3.9697197000000095</c:v>
                </c:pt>
                <c:pt idx="28">
                  <c:v>3.997494975000019</c:v>
                </c:pt>
                <c:pt idx="29">
                  <c:v>4.0176969444444515</c:v>
                </c:pt>
              </c:numCache>
            </c:numRef>
          </c:val>
          <c:smooth val="1"/>
          <c:extLst>
            <c:ext xmlns:c16="http://schemas.microsoft.com/office/drawing/2014/chart" uri="{C3380CC4-5D6E-409C-BE32-E72D297353CC}">
              <c16:uniqueId val="{00000001-1DC9-4E68-BE8C-6944CE62125F}"/>
            </c:ext>
          </c:extLst>
        </c:ser>
        <c:dLbls>
          <c:showLegendKey val="0"/>
          <c:showVal val="0"/>
          <c:showCatName val="0"/>
          <c:showSerName val="0"/>
          <c:showPercent val="0"/>
          <c:showBubbleSize val="0"/>
        </c:dLbls>
        <c:marker val="1"/>
        <c:smooth val="0"/>
        <c:axId val="1508029615"/>
        <c:axId val="1508022543"/>
      </c:lineChart>
      <c:catAx>
        <c:axId val="150802961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K</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8022543"/>
        <c:crosses val="autoZero"/>
        <c:auto val="1"/>
        <c:lblAlgn val="ctr"/>
        <c:lblOffset val="100"/>
        <c:noMultiLvlLbl val="0"/>
      </c:catAx>
      <c:valAx>
        <c:axId val="1508022543"/>
        <c:scaling>
          <c:orientation val="minMax"/>
          <c:min val="3"/>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802961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Plotof FRA</a:t>
            </a:r>
            <a:r>
              <a:rPr lang="en-US" baseline="0"/>
              <a:t> rates for </a:t>
            </a:r>
            <a:r>
              <a:rPr lang="en-US"/>
              <a:t>n=1,2,3,4</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n=1</c:v>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'Part 1'!$I$71:$I$100</c:f>
              <c:numCache>
                <c:formatCode>0.0000</c:formatCode>
                <c:ptCount val="30"/>
                <c:pt idx="0">
                  <c:v>3.6849999999999725</c:v>
                </c:pt>
                <c:pt idx="1">
                  <c:v>3.4349999999999734</c:v>
                </c:pt>
                <c:pt idx="2">
                  <c:v>3.2649999999999673</c:v>
                </c:pt>
                <c:pt idx="3">
                  <c:v>3.1699999999999915</c:v>
                </c:pt>
                <c:pt idx="4">
                  <c:v>3.1349999999999656</c:v>
                </c:pt>
                <c:pt idx="5">
                  <c:v>3.140000000000037</c:v>
                </c:pt>
                <c:pt idx="6">
                  <c:v>3.1700000000000053</c:v>
                </c:pt>
                <c:pt idx="7">
                  <c:v>3.2099999999999804</c:v>
                </c:pt>
                <c:pt idx="8">
                  <c:v>3.2500000000000142</c:v>
                </c:pt>
                <c:pt idx="9">
                  <c:v>3.2899999999999521</c:v>
                </c:pt>
                <c:pt idx="10">
                  <c:v>3.3300000000000192</c:v>
                </c:pt>
                <c:pt idx="11">
                  <c:v>3.3700000000000099</c:v>
                </c:pt>
                <c:pt idx="12">
                  <c:v>3.4100000000000046</c:v>
                </c:pt>
                <c:pt idx="13">
                  <c:v>3.4499999999999593</c:v>
                </c:pt>
                <c:pt idx="14">
                  <c:v>3.4849999999999874</c:v>
                </c:pt>
                <c:pt idx="15">
                  <c:v>3.5249999999999719</c:v>
                </c:pt>
                <c:pt idx="16">
                  <c:v>3.5700000000000074</c:v>
                </c:pt>
                <c:pt idx="17">
                  <c:v>3.615000000000014</c:v>
                </c:pt>
                <c:pt idx="18">
                  <c:v>3.6549999999999798</c:v>
                </c:pt>
                <c:pt idx="19">
                  <c:v>3.6950000000000274</c:v>
                </c:pt>
                <c:pt idx="20">
                  <c:v>3.7349999999999985</c:v>
                </c:pt>
                <c:pt idx="21">
                  <c:v>3.7699999999999614</c:v>
                </c:pt>
                <c:pt idx="22">
                  <c:v>3.8000000000000096</c:v>
                </c:pt>
                <c:pt idx="23">
                  <c:v>3.8299999999999832</c:v>
                </c:pt>
                <c:pt idx="24">
                  <c:v>3.864999999999946</c:v>
                </c:pt>
                <c:pt idx="25">
                  <c:v>3.8899999999999455</c:v>
                </c:pt>
                <c:pt idx="26">
                  <c:v>3.9149999999999685</c:v>
                </c:pt>
                <c:pt idx="27">
                  <c:v>3.9399999999999742</c:v>
                </c:pt>
                <c:pt idx="28">
                  <c:v>3.9600000000000448</c:v>
                </c:pt>
                <c:pt idx="29">
                  <c:v>3.9949999999999921</c:v>
                </c:pt>
              </c:numCache>
            </c:numRef>
          </c:val>
          <c:smooth val="0"/>
          <c:extLst>
            <c:ext xmlns:c16="http://schemas.microsoft.com/office/drawing/2014/chart" uri="{C3380CC4-5D6E-409C-BE32-E72D297353CC}">
              <c16:uniqueId val="{00000003-F278-4223-A081-F2A81E9292B4}"/>
            </c:ext>
          </c:extLst>
        </c:ser>
        <c:ser>
          <c:idx val="1"/>
          <c:order val="1"/>
          <c:tx>
            <c:v>n=2</c:v>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'Part 1'!$J$71:$J$100</c:f>
              <c:numCache>
                <c:formatCode>0.0000</c:formatCode>
                <c:ptCount val="30"/>
                <c:pt idx="0">
                  <c:v>3.5759982739583056</c:v>
                </c:pt>
                <c:pt idx="1">
                  <c:v>3.3641748614583036</c:v>
                </c:pt>
                <c:pt idx="2">
                  <c:v>3.2305813131944237</c:v>
                </c:pt>
                <c:pt idx="3">
                  <c:v>3.1650604645833122</c:v>
                </c:pt>
                <c:pt idx="4">
                  <c:v>3.1499415958333348</c:v>
                </c:pt>
                <c:pt idx="5">
                  <c:v>3.1675804972222434</c:v>
                </c:pt>
                <c:pt idx="6">
                  <c:v>3.2028609541666593</c:v>
                </c:pt>
                <c:pt idx="7">
                  <c:v>3.2431855208333307</c:v>
                </c:pt>
                <c:pt idx="8">
                  <c:v>3.2835141319444268</c:v>
                </c:pt>
                <c:pt idx="9">
                  <c:v>3.325100372222209</c:v>
                </c:pt>
                <c:pt idx="10">
                  <c:v>3.3639680611111258</c:v>
                </c:pt>
                <c:pt idx="11">
                  <c:v>3.4045242319444515</c:v>
                </c:pt>
                <c:pt idx="12">
                  <c:v>3.4448690208333153</c:v>
                </c:pt>
                <c:pt idx="13">
                  <c:v>3.4826960520833068</c:v>
                </c:pt>
                <c:pt idx="14">
                  <c:v>3.5205264010416459</c:v>
                </c:pt>
                <c:pt idx="15">
                  <c:v>3.563405093749989</c:v>
                </c:pt>
                <c:pt idx="16">
                  <c:v>3.6088111812500108</c:v>
                </c:pt>
                <c:pt idx="17">
                  <c:v>3.6519000866575557</c:v>
                </c:pt>
                <c:pt idx="18">
                  <c:v>3.691847262362641</c:v>
                </c:pt>
                <c:pt idx="19">
                  <c:v>3.7324568380524994</c:v>
                </c:pt>
                <c:pt idx="20">
                  <c:v>3.7702967562499801</c:v>
                </c:pt>
                <c:pt idx="21">
                  <c:v>3.8031064722222077</c:v>
                </c:pt>
                <c:pt idx="22">
                  <c:v>3.8333946388888851</c:v>
                </c:pt>
                <c:pt idx="23">
                  <c:v>3.8662092840277418</c:v>
                </c:pt>
                <c:pt idx="24">
                  <c:v>3.8965023798610567</c:v>
                </c:pt>
                <c:pt idx="25">
                  <c:v>3.9217482062499567</c:v>
                </c:pt>
                <c:pt idx="26">
                  <c:v>3.9469956124999714</c:v>
                </c:pt>
                <c:pt idx="27">
                  <c:v>3.9697197000000095</c:v>
                </c:pt>
                <c:pt idx="28">
                  <c:v>3.997494975000019</c:v>
                </c:pt>
                <c:pt idx="29">
                  <c:v>4.0176969444444515</c:v>
                </c:pt>
              </c:numCache>
            </c:numRef>
          </c:val>
          <c:smooth val="1"/>
          <c:extLst>
            <c:ext xmlns:c16="http://schemas.microsoft.com/office/drawing/2014/chart" uri="{C3380CC4-5D6E-409C-BE32-E72D297353CC}">
              <c16:uniqueId val="{00000002-F278-4223-A081-F2A81E9292B4}"/>
            </c:ext>
          </c:extLst>
        </c:ser>
        <c:ser>
          <c:idx val="2"/>
          <c:order val="2"/>
          <c:tx>
            <c:v>n=3</c:v>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'Part 1'!$K$71:$K$100</c:f>
              <c:numCache>
                <c:formatCode>0.0000</c:formatCode>
                <c:ptCount val="30"/>
                <c:pt idx="0">
                  <c:v>3.4920077886975101</c:v>
                </c:pt>
                <c:pt idx="1">
                  <c:v>3.3174214543478455</c:v>
                </c:pt>
                <c:pt idx="2">
                  <c:v>3.215788216017283</c:v>
                </c:pt>
                <c:pt idx="3">
                  <c:v>3.1734548352249989</c:v>
                </c:pt>
                <c:pt idx="4">
                  <c:v>3.1734548352250034</c:v>
                </c:pt>
                <c:pt idx="5">
                  <c:v>3.1988551822045186</c:v>
                </c:pt>
                <c:pt idx="6">
                  <c:v>3.2361155643924966</c:v>
                </c:pt>
                <c:pt idx="7">
                  <c:v>3.2767714085755797</c:v>
                </c:pt>
                <c:pt idx="8">
                  <c:v>3.3191314719078338</c:v>
                </c:pt>
                <c:pt idx="9">
                  <c:v>3.3588122862090453</c:v>
                </c:pt>
                <c:pt idx="10">
                  <c:v>3.398501058669575</c:v>
                </c:pt>
                <c:pt idx="11">
                  <c:v>3.4394763469003422</c:v>
                </c:pt>
                <c:pt idx="12">
                  <c:v>3.4784772830911312</c:v>
                </c:pt>
                <c:pt idx="13">
                  <c:v>3.5174855500204729</c:v>
                </c:pt>
                <c:pt idx="14">
                  <c:v>3.5581974786927</c:v>
                </c:pt>
                <c:pt idx="15">
                  <c:v>3.6023114616975063</c:v>
                </c:pt>
                <c:pt idx="16">
                  <c:v>3.6467100212744219</c:v>
                </c:pt>
                <c:pt idx="17">
                  <c:v>3.6887220366614528</c:v>
                </c:pt>
                <c:pt idx="18">
                  <c:v>3.7294686102189472</c:v>
                </c:pt>
                <c:pt idx="19">
                  <c:v>3.7686864955938426</c:v>
                </c:pt>
                <c:pt idx="20">
                  <c:v>3.8043417008020497</c:v>
                </c:pt>
                <c:pt idx="21">
                  <c:v>3.8366172166437549</c:v>
                </c:pt>
                <c:pt idx="22">
                  <c:v>3.8688975813965869</c:v>
                </c:pt>
                <c:pt idx="23">
                  <c:v>3.8994839564713093</c:v>
                </c:pt>
                <c:pt idx="24">
                  <c:v>3.9283754276918268</c:v>
                </c:pt>
                <c:pt idx="25">
                  <c:v>3.9538710930901262</c:v>
                </c:pt>
                <c:pt idx="26">
                  <c:v>3.9776700257207454</c:v>
                </c:pt>
                <c:pt idx="27">
                  <c:v>4.0048718694136429</c:v>
                </c:pt>
                <c:pt idx="28">
                  <c:v>4.0252760605722422</c:v>
                </c:pt>
                <c:pt idx="29">
                  <c:v>4.0399393800401304</c:v>
                </c:pt>
              </c:numCache>
            </c:numRef>
          </c:val>
          <c:smooth val="0"/>
          <c:extLst>
            <c:ext xmlns:c16="http://schemas.microsoft.com/office/drawing/2014/chart" uri="{C3380CC4-5D6E-409C-BE32-E72D297353CC}">
              <c16:uniqueId val="{00000004-F278-4223-A081-F2A81E9292B4}"/>
            </c:ext>
          </c:extLst>
        </c:ser>
        <c:ser>
          <c:idx val="3"/>
          <c:order val="3"/>
          <c:tx>
            <c:v>n=4</c:v>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'Part 1'!$L$71:$L$100</c:f>
              <c:numCache>
                <c:formatCode>0.0000</c:formatCode>
                <c:ptCount val="30"/>
                <c:pt idx="0">
                  <c:v>3.43249208083158</c:v>
                </c:pt>
                <c:pt idx="1">
                  <c:v>3.291532977835951</c:v>
                </c:pt>
                <c:pt idx="2">
                  <c:v>3.215984481280572</c:v>
                </c:pt>
                <c:pt idx="3">
                  <c:v>3.1916629288420291</c:v>
                </c:pt>
                <c:pt idx="4">
                  <c:v>3.2019035825003637</c:v>
                </c:pt>
                <c:pt idx="5">
                  <c:v>3.2313509995729128</c:v>
                </c:pt>
                <c:pt idx="6">
                  <c:v>3.2697712699365153</c:v>
                </c:pt>
                <c:pt idx="7">
                  <c:v>3.3126894021580875</c:v>
                </c:pt>
                <c:pt idx="8">
                  <c:v>3.352947820485789</c:v>
                </c:pt>
                <c:pt idx="9">
                  <c:v>3.3932183510284952</c:v>
                </c:pt>
                <c:pt idx="10">
                  <c:v>3.4335009962153782</c:v>
                </c:pt>
                <c:pt idx="11">
                  <c:v>3.4735818087434667</c:v>
                </c:pt>
                <c:pt idx="12">
                  <c:v>3.513353973786749</c:v>
                </c:pt>
                <c:pt idx="13">
                  <c:v>3.554420944403589</c:v>
                </c:pt>
                <c:pt idx="14">
                  <c:v>3.5967839930524064</c:v>
                </c:pt>
                <c:pt idx="15">
                  <c:v>3.6407584142609717</c:v>
                </c:pt>
                <c:pt idx="16">
                  <c:v>3.6840072593304707</c:v>
                </c:pt>
                <c:pt idx="17">
                  <c:v>3.7264111376925619</c:v>
                </c:pt>
                <c:pt idx="18">
                  <c:v>3.7662570575831138</c:v>
                </c:pt>
                <c:pt idx="19">
                  <c:v>3.8036617517434119</c:v>
                </c:pt>
                <c:pt idx="20">
                  <c:v>3.8383797592052944</c:v>
                </c:pt>
                <c:pt idx="21">
                  <c:v>3.8718253254901329</c:v>
                </c:pt>
                <c:pt idx="22">
                  <c:v>3.9027054996898967</c:v>
                </c:pt>
                <c:pt idx="23">
                  <c:v>3.932305668431646</c:v>
                </c:pt>
                <c:pt idx="24">
                  <c:v>3.9606248983906265</c:v>
                </c:pt>
                <c:pt idx="25">
                  <c:v>3.9850870070489806</c:v>
                </c:pt>
                <c:pt idx="26">
                  <c:v>4.0121288119884877</c:v>
                </c:pt>
                <c:pt idx="27">
                  <c:v>4.034024180403291</c:v>
                </c:pt>
                <c:pt idx="28">
                  <c:v>4.0508522062146017</c:v>
                </c:pt>
                <c:pt idx="29">
                  <c:v>4.0584419134369751</c:v>
                </c:pt>
              </c:numCache>
            </c:numRef>
          </c:val>
          <c:smooth val="0"/>
          <c:extLst>
            <c:ext xmlns:c16="http://schemas.microsoft.com/office/drawing/2014/chart" uri="{C3380CC4-5D6E-409C-BE32-E72D297353CC}">
              <c16:uniqueId val="{00000005-F278-4223-A081-F2A81E9292B4}"/>
            </c:ext>
          </c:extLst>
        </c:ser>
        <c:dLbls>
          <c:showLegendKey val="0"/>
          <c:showVal val="0"/>
          <c:showCatName val="0"/>
          <c:showSerName val="0"/>
          <c:showPercent val="0"/>
          <c:showBubbleSize val="0"/>
        </c:dLbls>
        <c:marker val="1"/>
        <c:smooth val="0"/>
        <c:axId val="1508029615"/>
        <c:axId val="1508022543"/>
      </c:lineChart>
      <c:catAx>
        <c:axId val="150802961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K</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8022543"/>
        <c:crosses val="autoZero"/>
        <c:auto val="1"/>
        <c:lblAlgn val="ctr"/>
        <c:lblOffset val="100"/>
        <c:noMultiLvlLbl val="0"/>
      </c:catAx>
      <c:valAx>
        <c:axId val="1508022543"/>
        <c:scaling>
          <c:orientation val="minMax"/>
          <c:min val="3"/>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8029615"/>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Graph of FRA_rates when I=3</a:t>
            </a:r>
          </a:p>
        </c:rich>
      </c:tx>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1"/>
          <c:order val="0"/>
          <c:tx>
            <c:v>I=3</c:v>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'Part 1'!$I$70:$L$70</c:f>
              <c:strCache>
                <c:ptCount val="4"/>
                <c:pt idx="0">
                  <c:v>J=I +3</c:v>
                </c:pt>
                <c:pt idx="1">
                  <c:v>J=I + 6</c:v>
                </c:pt>
                <c:pt idx="2">
                  <c:v>J=I +9</c:v>
                </c:pt>
                <c:pt idx="3">
                  <c:v>J=I +12</c:v>
                </c:pt>
              </c:strCache>
            </c:strRef>
          </c:cat>
          <c:val>
            <c:numRef>
              <c:f>'Part 1'!$I$71:$L$71</c:f>
              <c:numCache>
                <c:formatCode>0.0000</c:formatCode>
                <c:ptCount val="4"/>
                <c:pt idx="0">
                  <c:v>3.6849999999999725</c:v>
                </c:pt>
                <c:pt idx="1">
                  <c:v>3.5759982739583056</c:v>
                </c:pt>
                <c:pt idx="2">
                  <c:v>3.4920077886975101</c:v>
                </c:pt>
                <c:pt idx="3">
                  <c:v>3.43249208083158</c:v>
                </c:pt>
              </c:numCache>
            </c:numRef>
          </c:val>
          <c:extLst>
            <c:ext xmlns:c16="http://schemas.microsoft.com/office/drawing/2014/chart" uri="{C3380CC4-5D6E-409C-BE32-E72D297353CC}">
              <c16:uniqueId val="{00000001-E5CC-4659-9539-1DF5014D39C1}"/>
            </c:ext>
          </c:extLst>
        </c:ser>
        <c:dLbls>
          <c:dLblPos val="outEnd"/>
          <c:showLegendKey val="0"/>
          <c:showVal val="1"/>
          <c:showCatName val="0"/>
          <c:showSerName val="0"/>
          <c:showPercent val="0"/>
          <c:showBubbleSize val="0"/>
        </c:dLbls>
        <c:gapWidth val="63"/>
        <c:overlap val="34"/>
        <c:axId val="1511559535"/>
        <c:axId val="1511552879"/>
      </c:barChart>
      <c:catAx>
        <c:axId val="1511559535"/>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511552879"/>
        <c:crosses val="autoZero"/>
        <c:auto val="1"/>
        <c:lblAlgn val="ctr"/>
        <c:lblOffset val="100"/>
        <c:noMultiLvlLbl val="0"/>
      </c:catAx>
      <c:valAx>
        <c:axId val="1511552879"/>
        <c:scaling>
          <c:orientation val="minMax"/>
        </c:scaling>
        <c:delete val="0"/>
        <c:axPos val="l"/>
        <c:majorGridlines>
          <c:spPr>
            <a:ln w="9525" cap="flat" cmpd="sng" algn="ctr">
              <a:solidFill>
                <a:schemeClr val="tx1">
                  <a:lumMod val="5000"/>
                  <a:lumOff val="9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511559535"/>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[QF3101HW_gopal_a0252628b.xlsm]Part 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Plot</a:t>
            </a:r>
            <a:r>
              <a:rPr lang="en-US" baseline="0"/>
              <a:t> of LIBOR Rates for maturity up to 12 Months From </a:t>
            </a:r>
            <a:r>
              <a:rPr lang="en-US"/>
              <a:t>Reference Date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numFmt formatCode="0.00%" sourceLinked="0"/>
          <c:spPr>
            <a:solidFill>
              <a:schemeClr val="tx1">
                <a:lumMod val="75000"/>
                <a:lumOff val="25000"/>
                <a:alpha val="11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'Part 2'!$C$23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numFmt formatCode="0.00%" sourceLinked="0"/>
            <c:spPr>
              <a:solidFill>
                <a:schemeClr val="tx1">
                  <a:lumMod val="75000"/>
                  <a:lumOff val="25000"/>
                  <a:alpha val="11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'Part 2'!$B$24:$B$35</c:f>
              <c:strCache>
                <c:ptCount val="12"/>
                <c:pt idx="0">
                  <c:v>1M</c:v>
                </c:pt>
                <c:pt idx="1">
                  <c:v>2M</c:v>
                </c:pt>
                <c:pt idx="2">
                  <c:v>3M</c:v>
                </c:pt>
                <c:pt idx="3">
                  <c:v>4M</c:v>
                </c:pt>
                <c:pt idx="4">
                  <c:v>5M</c:v>
                </c:pt>
                <c:pt idx="5">
                  <c:v>6M</c:v>
                </c:pt>
                <c:pt idx="6">
                  <c:v>7M</c:v>
                </c:pt>
                <c:pt idx="7">
                  <c:v>8M</c:v>
                </c:pt>
                <c:pt idx="8">
                  <c:v>9M</c:v>
                </c:pt>
                <c:pt idx="9">
                  <c:v>10M</c:v>
                </c:pt>
                <c:pt idx="10">
                  <c:v>11M</c:v>
                </c:pt>
                <c:pt idx="11">
                  <c:v>12M</c:v>
                </c:pt>
              </c:strCache>
            </c:strRef>
          </c:cat>
          <c:val>
            <c:numRef>
              <c:f>'Part 2'!$C$24:$C$35</c:f>
              <c:numCache>
                <c:formatCode>General</c:formatCode>
                <c:ptCount val="12"/>
                <c:pt idx="0">
                  <c:v>2.8468999999999999E-3</c:v>
                </c:pt>
                <c:pt idx="1">
                  <c:v>3.2125000000000001E-3</c:v>
                </c:pt>
                <c:pt idx="2">
                  <c:v>3.5312999999999998E-3</c:v>
                </c:pt>
                <c:pt idx="3">
                  <c:v>4.0499999999999998E-3</c:v>
                </c:pt>
                <c:pt idx="4">
                  <c:v>4.6375000000000001E-3</c:v>
                </c:pt>
                <c:pt idx="5">
                  <c:v>5.4577999999999996E-3</c:v>
                </c:pt>
                <c:pt idx="6">
                  <c:v>6.2531000000000002E-3</c:v>
                </c:pt>
                <c:pt idx="7">
                  <c:v>7.0375000000000004E-3</c:v>
                </c:pt>
                <c:pt idx="8">
                  <c:v>7.8688000000000004E-3</c:v>
                </c:pt>
                <c:pt idx="9">
                  <c:v>8.6718999999999997E-3</c:v>
                </c:pt>
                <c:pt idx="10">
                  <c:v>9.4906000000000001E-3</c:v>
                </c:pt>
                <c:pt idx="11">
                  <c:v>1.04E-2</c:v>
                </c:pt>
              </c:numCache>
            </c:numRef>
          </c:val>
          <c:smooth val="0"/>
          <c:extLst>
            <c:ext xmlns:c16="http://schemas.microsoft.com/office/drawing/2014/chart" uri="{C3380CC4-5D6E-409C-BE32-E72D297353CC}">
              <c16:uniqueId val="{00000019-A544-417A-88E5-2A549AEC879E}"/>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008877119"/>
        <c:axId val="1008873791"/>
      </c:lineChart>
      <c:catAx>
        <c:axId val="100887711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Maturity</a:t>
                </a:r>
                <a:r>
                  <a:rPr lang="en-US" b="1" baseline="0"/>
                  <a:t> (Months) From Reference Date</a:t>
                </a:r>
                <a:endParaRPr lang="en-US" b="1"/>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8873791"/>
        <c:crosses val="autoZero"/>
        <c:auto val="1"/>
        <c:lblAlgn val="ctr"/>
        <c:lblOffset val="100"/>
        <c:noMultiLvlLbl val="0"/>
      </c:catAx>
      <c:valAx>
        <c:axId val="1008873791"/>
        <c:scaling>
          <c:orientation val="minMax"/>
          <c:max val="1.2500000000000002E-2"/>
          <c:min val="2.0000000000000005E-3"/>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12700">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88771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LIBOR</a:t>
            </a:r>
            <a:r>
              <a:rPr lang="en-US" baseline="0"/>
              <a:t> Rates for first business day of the month in 2010, with up to 12Month maturity</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1/4/2010</c:v>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'Part 2'!$C$4:$N$4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'Part 2'!$C$5:$N$5</c:f>
              <c:numCache>
                <c:formatCode>0.000%</c:formatCode>
                <c:ptCount val="12"/>
                <c:pt idx="0">
                  <c:v>2.3343999999999999E-3</c:v>
                </c:pt>
                <c:pt idx="1">
                  <c:v>2.4344000000000002E-3</c:v>
                </c:pt>
                <c:pt idx="2">
                  <c:v>2.5438000000000001E-3</c:v>
                </c:pt>
                <c:pt idx="3">
                  <c:v>2.9125000000000002E-3</c:v>
                </c:pt>
                <c:pt idx="4">
                  <c:v>3.5025E-3</c:v>
                </c:pt>
                <c:pt idx="5">
                  <c:v>4.3438000000000001E-3</c:v>
                </c:pt>
                <c:pt idx="6">
                  <c:v>5.1250000000000002E-3</c:v>
                </c:pt>
                <c:pt idx="7">
                  <c:v>6.1999999999999998E-3</c:v>
                </c:pt>
                <c:pt idx="8">
                  <c:v>7.1812999999999998E-3</c:v>
                </c:pt>
                <c:pt idx="9">
                  <c:v>8.0874999999999992E-3</c:v>
                </c:pt>
                <c:pt idx="10">
                  <c:v>9.0063000000000001E-3</c:v>
                </c:pt>
                <c:pt idx="11">
                  <c:v>9.9375000000000002E-3</c:v>
                </c:pt>
              </c:numCache>
            </c:numRef>
          </c:val>
          <c:smooth val="0"/>
          <c:extLst>
            <c:ext xmlns:c16="http://schemas.microsoft.com/office/drawing/2014/chart" uri="{C3380CC4-5D6E-409C-BE32-E72D297353CC}">
              <c16:uniqueId val="{0000000C-C782-43AC-8628-F5639BE11CAE}"/>
            </c:ext>
          </c:extLst>
        </c:ser>
        <c:ser>
          <c:idx val="1"/>
          <c:order val="1"/>
          <c:tx>
            <c:v>2/1/2010</c:v>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'Part 2'!$C$4:$N$4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'Part 2'!$C$6:$N$6</c:f>
              <c:numCache>
                <c:formatCode>0.000%</c:formatCode>
                <c:ptCount val="12"/>
                <c:pt idx="0">
                  <c:v>2.2905999999999998E-3</c:v>
                </c:pt>
                <c:pt idx="1">
                  <c:v>2.3906000000000001E-3</c:v>
                </c:pt>
                <c:pt idx="2">
                  <c:v>2.4905999999999999E-3</c:v>
                </c:pt>
                <c:pt idx="3">
                  <c:v>2.7625000000000002E-3</c:v>
                </c:pt>
                <c:pt idx="4">
                  <c:v>3.2437999999999998E-3</c:v>
                </c:pt>
                <c:pt idx="5">
                  <c:v>3.8375000000000002E-3</c:v>
                </c:pt>
                <c:pt idx="6">
                  <c:v>4.5563000000000001E-3</c:v>
                </c:pt>
                <c:pt idx="7">
                  <c:v>5.3438000000000001E-3</c:v>
                </c:pt>
                <c:pt idx="8">
                  <c:v>6.1313000000000001E-3</c:v>
                </c:pt>
                <c:pt idx="9">
                  <c:v>6.9125000000000002E-3</c:v>
                </c:pt>
                <c:pt idx="10">
                  <c:v>7.6563000000000004E-3</c:v>
                </c:pt>
                <c:pt idx="11">
                  <c:v>8.4250000000000002E-3</c:v>
                </c:pt>
              </c:numCache>
            </c:numRef>
          </c:val>
          <c:smooth val="0"/>
          <c:extLst>
            <c:ext xmlns:c16="http://schemas.microsoft.com/office/drawing/2014/chart" uri="{C3380CC4-5D6E-409C-BE32-E72D297353CC}">
              <c16:uniqueId val="{0000000D-C782-43AC-8628-F5639BE11CAE}"/>
            </c:ext>
          </c:extLst>
        </c:ser>
        <c:ser>
          <c:idx val="2"/>
          <c:order val="2"/>
          <c:tx>
            <c:v>3/1/2010</c:v>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'Part 2'!$C$4:$N$4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'Part 2'!$C$7:$N$7</c:f>
              <c:numCache>
                <c:formatCode>0.000%</c:formatCode>
                <c:ptCount val="12"/>
                <c:pt idx="0">
                  <c:v>2.2813E-3</c:v>
                </c:pt>
                <c:pt idx="1">
                  <c:v>2.3938000000000002E-3</c:v>
                </c:pt>
                <c:pt idx="2">
                  <c:v>2.5168999999999999E-3</c:v>
                </c:pt>
                <c:pt idx="3">
                  <c:v>2.8563E-3</c:v>
                </c:pt>
                <c:pt idx="4">
                  <c:v>3.2669000000000001E-3</c:v>
                </c:pt>
                <c:pt idx="5">
                  <c:v>3.8375000000000002E-3</c:v>
                </c:pt>
                <c:pt idx="6">
                  <c:v>4.5481000000000002E-3</c:v>
                </c:pt>
                <c:pt idx="7">
                  <c:v>5.2750000000000002E-3</c:v>
                </c:pt>
                <c:pt idx="8">
                  <c:v>6.0137999999999997E-3</c:v>
                </c:pt>
                <c:pt idx="9">
                  <c:v>6.7930999999999998E-3</c:v>
                </c:pt>
                <c:pt idx="10">
                  <c:v>7.5938000000000004E-3</c:v>
                </c:pt>
                <c:pt idx="11">
                  <c:v>8.3937999999999999E-3</c:v>
                </c:pt>
              </c:numCache>
            </c:numRef>
          </c:val>
          <c:smooth val="0"/>
          <c:extLst>
            <c:ext xmlns:c16="http://schemas.microsoft.com/office/drawing/2014/chart" uri="{C3380CC4-5D6E-409C-BE32-E72D297353CC}">
              <c16:uniqueId val="{0000000E-C782-43AC-8628-F5639BE11CAE}"/>
            </c:ext>
          </c:extLst>
        </c:ser>
        <c:ser>
          <c:idx val="3"/>
          <c:order val="3"/>
          <c:tx>
            <c:v>4/1/2010</c:v>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'Part 2'!$C$4:$N$4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'Part 2'!$C$8:$N$8</c:f>
              <c:numCache>
                <c:formatCode>0.000%</c:formatCode>
                <c:ptCount val="12"/>
                <c:pt idx="0">
                  <c:v>2.4862999999999999E-3</c:v>
                </c:pt>
                <c:pt idx="1">
                  <c:v>2.6694000000000002E-3</c:v>
                </c:pt>
                <c:pt idx="2">
                  <c:v>2.9150000000000001E-3</c:v>
                </c:pt>
                <c:pt idx="3">
                  <c:v>3.2850000000000002E-3</c:v>
                </c:pt>
                <c:pt idx="4">
                  <c:v>3.7063E-3</c:v>
                </c:pt>
                <c:pt idx="5">
                  <c:v>4.4156000000000004E-3</c:v>
                </c:pt>
                <c:pt idx="6">
                  <c:v>5.1562999999999999E-3</c:v>
                </c:pt>
                <c:pt idx="7">
                  <c:v>5.8906000000000002E-3</c:v>
                </c:pt>
                <c:pt idx="8">
                  <c:v>6.7124999999999997E-3</c:v>
                </c:pt>
                <c:pt idx="9">
                  <c:v>7.5294000000000003E-3</c:v>
                </c:pt>
                <c:pt idx="10">
                  <c:v>8.3374999999999994E-3</c:v>
                </c:pt>
                <c:pt idx="11">
                  <c:v>9.1500000000000001E-3</c:v>
                </c:pt>
              </c:numCache>
            </c:numRef>
          </c:val>
          <c:smooth val="0"/>
          <c:extLst>
            <c:ext xmlns:c16="http://schemas.microsoft.com/office/drawing/2014/chart" uri="{C3380CC4-5D6E-409C-BE32-E72D297353CC}">
              <c16:uniqueId val="{0000000F-C782-43AC-8628-F5639BE11CAE}"/>
            </c:ext>
          </c:extLst>
        </c:ser>
        <c:ser>
          <c:idx val="4"/>
          <c:order val="4"/>
          <c:tx>
            <c:v>5/3/2010</c:v>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'Part 2'!$C$4:$N$4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'Part 2'!$C$9:$N$9</c:f>
              <c:numCache>
                <c:formatCode>0.000%</c:formatCode>
                <c:ptCount val="12"/>
                <c:pt idx="0">
                  <c:v>2.8468999999999999E-3</c:v>
                </c:pt>
                <c:pt idx="1">
                  <c:v>3.2125000000000001E-3</c:v>
                </c:pt>
                <c:pt idx="2">
                  <c:v>3.5312999999999998E-3</c:v>
                </c:pt>
                <c:pt idx="3">
                  <c:v>4.0499999999999998E-3</c:v>
                </c:pt>
                <c:pt idx="4">
                  <c:v>4.6375000000000001E-3</c:v>
                </c:pt>
                <c:pt idx="5">
                  <c:v>5.4577999999999996E-3</c:v>
                </c:pt>
                <c:pt idx="6">
                  <c:v>6.2531000000000002E-3</c:v>
                </c:pt>
                <c:pt idx="7">
                  <c:v>7.0375000000000004E-3</c:v>
                </c:pt>
                <c:pt idx="8">
                  <c:v>7.8688000000000004E-3</c:v>
                </c:pt>
                <c:pt idx="9">
                  <c:v>8.6718999999999997E-3</c:v>
                </c:pt>
                <c:pt idx="10">
                  <c:v>9.4906000000000001E-3</c:v>
                </c:pt>
                <c:pt idx="11">
                  <c:v>1.04E-2</c:v>
                </c:pt>
              </c:numCache>
            </c:numRef>
          </c:val>
          <c:smooth val="0"/>
          <c:extLst>
            <c:ext xmlns:c16="http://schemas.microsoft.com/office/drawing/2014/chart" uri="{C3380CC4-5D6E-409C-BE32-E72D297353CC}">
              <c16:uniqueId val="{00000010-C782-43AC-8628-F5639BE11CAE}"/>
            </c:ext>
          </c:extLst>
        </c:ser>
        <c:ser>
          <c:idx val="5"/>
          <c:order val="5"/>
          <c:tx>
            <c:v>6/1/2010</c:v>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'Part 2'!$C$4:$N$4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'Part 2'!$C$10:$N$10</c:f>
              <c:numCache>
                <c:formatCode>0.000%</c:formatCode>
                <c:ptCount val="12"/>
                <c:pt idx="0">
                  <c:v>3.5087999999999999E-3</c:v>
                </c:pt>
                <c:pt idx="1">
                  <c:v>4.3438000000000001E-3</c:v>
                </c:pt>
                <c:pt idx="2">
                  <c:v>5.3625000000000001E-3</c:v>
                </c:pt>
                <c:pt idx="3">
                  <c:v>6.0774999999999996E-3</c:v>
                </c:pt>
                <c:pt idx="4">
                  <c:v>6.7118999999999998E-3</c:v>
                </c:pt>
                <c:pt idx="5">
                  <c:v>7.6112999999999997E-3</c:v>
                </c:pt>
                <c:pt idx="6">
                  <c:v>8.3213000000000002E-3</c:v>
                </c:pt>
                <c:pt idx="7">
                  <c:v>9.0363000000000006E-3</c:v>
                </c:pt>
                <c:pt idx="8">
                  <c:v>9.8718999999999994E-3</c:v>
                </c:pt>
                <c:pt idx="9">
                  <c:v>1.05863E-2</c:v>
                </c:pt>
                <c:pt idx="10">
                  <c:v>1.1367499999999999E-2</c:v>
                </c:pt>
                <c:pt idx="11">
                  <c:v>1.2087499999999999E-2</c:v>
                </c:pt>
              </c:numCache>
            </c:numRef>
          </c:val>
          <c:smooth val="0"/>
          <c:extLst>
            <c:ext xmlns:c16="http://schemas.microsoft.com/office/drawing/2014/chart" uri="{C3380CC4-5D6E-409C-BE32-E72D297353CC}">
              <c16:uniqueId val="{00000011-C782-43AC-8628-F5639BE11CAE}"/>
            </c:ext>
          </c:extLst>
        </c:ser>
        <c:ser>
          <c:idx val="6"/>
          <c:order val="6"/>
          <c:tx>
            <c:v>7/1/2010</c:v>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numRef>
              <c:f>'Part 2'!$C$4:$N$4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'Part 2'!$C$11:$N$11</c:f>
              <c:numCache>
                <c:formatCode>0.000%</c:formatCode>
                <c:ptCount val="12"/>
                <c:pt idx="0">
                  <c:v>3.4719E-3</c:v>
                </c:pt>
                <c:pt idx="1">
                  <c:v>4.3062999999999999E-3</c:v>
                </c:pt>
                <c:pt idx="2">
                  <c:v>5.3331000000000003E-3</c:v>
                </c:pt>
                <c:pt idx="3">
                  <c:v>6.0337999999999998E-3</c:v>
                </c:pt>
                <c:pt idx="4">
                  <c:v>6.7162999999999997E-3</c:v>
                </c:pt>
                <c:pt idx="5">
                  <c:v>7.5100000000000002E-3</c:v>
                </c:pt>
                <c:pt idx="6">
                  <c:v>8.1819000000000006E-3</c:v>
                </c:pt>
                <c:pt idx="7">
                  <c:v>8.8655999999999995E-3</c:v>
                </c:pt>
                <c:pt idx="8">
                  <c:v>9.5375000000000008E-3</c:v>
                </c:pt>
                <c:pt idx="9">
                  <c:v>1.025E-2</c:v>
                </c:pt>
                <c:pt idx="10">
                  <c:v>1.10125E-2</c:v>
                </c:pt>
                <c:pt idx="11">
                  <c:v>1.17313E-2</c:v>
                </c:pt>
              </c:numCache>
            </c:numRef>
          </c:val>
          <c:smooth val="0"/>
          <c:extLst>
            <c:ext xmlns:c16="http://schemas.microsoft.com/office/drawing/2014/chart" uri="{C3380CC4-5D6E-409C-BE32-E72D297353CC}">
              <c16:uniqueId val="{00000012-C782-43AC-8628-F5639BE11CAE}"/>
            </c:ext>
          </c:extLst>
        </c:ser>
        <c:ser>
          <c:idx val="7"/>
          <c:order val="7"/>
          <c:tx>
            <c:v>8/2/2010</c:v>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numRef>
              <c:f>'Part 2'!$C$4:$N$4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'Part 2'!$C$12:$N$12</c:f>
              <c:numCache>
                <c:formatCode>0.000%</c:formatCode>
                <c:ptCount val="12"/>
                <c:pt idx="0">
                  <c:v>3.0281000000000001E-3</c:v>
                </c:pt>
                <c:pt idx="1">
                  <c:v>3.6094E-3</c:v>
                </c:pt>
                <c:pt idx="2">
                  <c:v>4.4469000000000002E-3</c:v>
                </c:pt>
                <c:pt idx="3">
                  <c:v>5.1212999999999996E-3</c:v>
                </c:pt>
                <c:pt idx="4">
                  <c:v>5.8125E-3</c:v>
                </c:pt>
                <c:pt idx="5">
                  <c:v>6.5994000000000001E-3</c:v>
                </c:pt>
                <c:pt idx="6">
                  <c:v>7.1944000000000001E-3</c:v>
                </c:pt>
                <c:pt idx="7">
                  <c:v>7.7374999999999996E-3</c:v>
                </c:pt>
                <c:pt idx="8">
                  <c:v>8.2781E-3</c:v>
                </c:pt>
                <c:pt idx="9">
                  <c:v>8.9656000000000007E-3</c:v>
                </c:pt>
                <c:pt idx="10">
                  <c:v>9.6562999999999996E-3</c:v>
                </c:pt>
                <c:pt idx="11">
                  <c:v>1.0297499999999999E-2</c:v>
                </c:pt>
              </c:numCache>
            </c:numRef>
          </c:val>
          <c:smooth val="0"/>
          <c:extLst>
            <c:ext xmlns:c16="http://schemas.microsoft.com/office/drawing/2014/chart" uri="{C3380CC4-5D6E-409C-BE32-E72D297353CC}">
              <c16:uniqueId val="{00000013-C782-43AC-8628-F5639BE11CAE}"/>
            </c:ext>
          </c:extLst>
        </c:ser>
        <c:ser>
          <c:idx val="8"/>
          <c:order val="8"/>
          <c:tx>
            <c:v>9/1/2010</c:v>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f>'Part 2'!$C$4:$N$4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'Part 2'!$C$13:$N$13</c:f>
              <c:numCache>
                <c:formatCode>0.000%</c:formatCode>
                <c:ptCount val="12"/>
                <c:pt idx="0">
                  <c:v>2.5780999999999998E-3</c:v>
                </c:pt>
                <c:pt idx="1">
                  <c:v>2.7469E-3</c:v>
                </c:pt>
                <c:pt idx="2">
                  <c:v>2.9562999999999998E-3</c:v>
                </c:pt>
                <c:pt idx="3">
                  <c:v>3.5593999999999999E-3</c:v>
                </c:pt>
                <c:pt idx="4">
                  <c:v>4.2818999999999999E-3</c:v>
                </c:pt>
                <c:pt idx="5">
                  <c:v>4.9624999999999999E-3</c:v>
                </c:pt>
                <c:pt idx="6">
                  <c:v>5.535E-3</c:v>
                </c:pt>
                <c:pt idx="7">
                  <c:v>6.0888000000000001E-3</c:v>
                </c:pt>
                <c:pt idx="8">
                  <c:v>6.5813E-3</c:v>
                </c:pt>
                <c:pt idx="9">
                  <c:v>7.1574999999999998E-3</c:v>
                </c:pt>
                <c:pt idx="10">
                  <c:v>7.7688000000000002E-3</c:v>
                </c:pt>
                <c:pt idx="11">
                  <c:v>8.3987999999999997E-3</c:v>
                </c:pt>
              </c:numCache>
            </c:numRef>
          </c:val>
          <c:smooth val="0"/>
          <c:extLst>
            <c:ext xmlns:c16="http://schemas.microsoft.com/office/drawing/2014/chart" uri="{C3380CC4-5D6E-409C-BE32-E72D297353CC}">
              <c16:uniqueId val="{00000014-C782-43AC-8628-F5639BE11CAE}"/>
            </c:ext>
          </c:extLst>
        </c:ser>
        <c:ser>
          <c:idx val="9"/>
          <c:order val="9"/>
          <c:tx>
            <c:v>10/1/2010</c:v>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numRef>
              <c:f>'Part 2'!$C$4:$N$4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'Part 2'!$C$14:$N$14</c:f>
              <c:numCache>
                <c:formatCode>0.000%</c:formatCode>
                <c:ptCount val="12"/>
                <c:pt idx="0">
                  <c:v>2.5688E-3</c:v>
                </c:pt>
                <c:pt idx="1">
                  <c:v>2.7358999999999999E-3</c:v>
                </c:pt>
                <c:pt idx="2">
                  <c:v>2.9063000000000001E-3</c:v>
                </c:pt>
                <c:pt idx="3">
                  <c:v>3.4469000000000001E-3</c:v>
                </c:pt>
                <c:pt idx="4">
                  <c:v>4.0813000000000004E-3</c:v>
                </c:pt>
                <c:pt idx="5">
                  <c:v>4.6312999999999997E-3</c:v>
                </c:pt>
                <c:pt idx="6">
                  <c:v>5.1343999999999999E-3</c:v>
                </c:pt>
                <c:pt idx="7">
                  <c:v>5.6375000000000001E-3</c:v>
                </c:pt>
                <c:pt idx="8">
                  <c:v>6.1203000000000004E-3</c:v>
                </c:pt>
                <c:pt idx="9">
                  <c:v>6.6531000000000003E-3</c:v>
                </c:pt>
                <c:pt idx="10">
                  <c:v>7.1843999999999996E-3</c:v>
                </c:pt>
                <c:pt idx="11">
                  <c:v>7.7837999999999996E-3</c:v>
                </c:pt>
              </c:numCache>
            </c:numRef>
          </c:val>
          <c:smooth val="0"/>
          <c:extLst>
            <c:ext xmlns:c16="http://schemas.microsoft.com/office/drawing/2014/chart" uri="{C3380CC4-5D6E-409C-BE32-E72D297353CC}">
              <c16:uniqueId val="{00000015-C782-43AC-8628-F5639BE11CAE}"/>
            </c:ext>
          </c:extLst>
        </c:ser>
        <c:ser>
          <c:idx val="10"/>
          <c:order val="10"/>
          <c:tx>
            <c:v>11/1/2010</c:v>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'Part 2'!$C$4:$N$4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'Part 2'!$C$15:$N$15</c:f>
              <c:numCache>
                <c:formatCode>0.000%</c:formatCode>
                <c:ptCount val="12"/>
                <c:pt idx="0">
                  <c:v>2.5374999999999998E-3</c:v>
                </c:pt>
                <c:pt idx="1">
                  <c:v>2.6859000000000002E-3</c:v>
                </c:pt>
                <c:pt idx="2">
                  <c:v>2.8593999999999998E-3</c:v>
                </c:pt>
                <c:pt idx="3">
                  <c:v>3.3500000000000001E-3</c:v>
                </c:pt>
                <c:pt idx="4">
                  <c:v>3.9624999999999999E-3</c:v>
                </c:pt>
                <c:pt idx="5">
                  <c:v>4.4562999999999998E-3</c:v>
                </c:pt>
                <c:pt idx="6">
                  <c:v>4.9350000000000002E-3</c:v>
                </c:pt>
                <c:pt idx="7">
                  <c:v>5.4124999999999998E-3</c:v>
                </c:pt>
                <c:pt idx="8">
                  <c:v>5.9312999999999996E-3</c:v>
                </c:pt>
                <c:pt idx="9">
                  <c:v>6.4749999999999999E-3</c:v>
                </c:pt>
                <c:pt idx="10">
                  <c:v>7.0280999999999998E-3</c:v>
                </c:pt>
                <c:pt idx="11">
                  <c:v>7.6038E-3</c:v>
                </c:pt>
              </c:numCache>
            </c:numRef>
          </c:val>
          <c:smooth val="0"/>
          <c:extLst>
            <c:ext xmlns:c16="http://schemas.microsoft.com/office/drawing/2014/chart" uri="{C3380CC4-5D6E-409C-BE32-E72D297353CC}">
              <c16:uniqueId val="{00000016-C782-43AC-8628-F5639BE11CAE}"/>
            </c:ext>
          </c:extLst>
        </c:ser>
        <c:ser>
          <c:idx val="11"/>
          <c:order val="11"/>
          <c:tx>
            <c:v>12/1/2010</c:v>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numRef>
              <c:f>'Part 2'!$C$4:$N$4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'Part 2'!$C$16:$N$16</c:f>
              <c:numCache>
                <c:formatCode>0.000%</c:formatCode>
                <c:ptCount val="12"/>
                <c:pt idx="0">
                  <c:v>2.6530999999999998E-3</c:v>
                </c:pt>
                <c:pt idx="1">
                  <c:v>2.8249999999999998E-3</c:v>
                </c:pt>
                <c:pt idx="2">
                  <c:v>3.0344E-3</c:v>
                </c:pt>
                <c:pt idx="3">
                  <c:v>3.5030999999999999E-3</c:v>
                </c:pt>
                <c:pt idx="4">
                  <c:v>4.1094E-3</c:v>
                </c:pt>
                <c:pt idx="5">
                  <c:v>4.6655999999999998E-3</c:v>
                </c:pt>
                <c:pt idx="6">
                  <c:v>5.1875000000000003E-3</c:v>
                </c:pt>
                <c:pt idx="7">
                  <c:v>5.7124999999999997E-3</c:v>
                </c:pt>
                <c:pt idx="8">
                  <c:v>6.2155999999999999E-3</c:v>
                </c:pt>
                <c:pt idx="9">
                  <c:v>6.7313E-3</c:v>
                </c:pt>
                <c:pt idx="10">
                  <c:v>7.2906000000000004E-3</c:v>
                </c:pt>
                <c:pt idx="11">
                  <c:v>7.9000000000000008E-3</c:v>
                </c:pt>
              </c:numCache>
            </c:numRef>
          </c:val>
          <c:smooth val="0"/>
          <c:extLst>
            <c:ext xmlns:c16="http://schemas.microsoft.com/office/drawing/2014/chart" uri="{C3380CC4-5D6E-409C-BE32-E72D297353CC}">
              <c16:uniqueId val="{00000017-C782-43AC-8628-F5639BE11CAE}"/>
            </c:ext>
          </c:extLst>
        </c:ser>
        <c:dLbls>
          <c:showLegendKey val="0"/>
          <c:showVal val="0"/>
          <c:showCatName val="0"/>
          <c:showSerName val="0"/>
          <c:showPercent val="0"/>
          <c:showBubbleSize val="0"/>
        </c:dLbls>
        <c:marker val="1"/>
        <c:smooth val="0"/>
        <c:axId val="1999736912"/>
        <c:axId val="1999739408"/>
      </c:lineChart>
      <c:catAx>
        <c:axId val="19997369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Maturity</a:t>
                </a:r>
                <a:r>
                  <a:rPr lang="en-US" baseline="0"/>
                  <a:t> from Reference Date (Months)</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39408"/>
        <c:crosses val="autoZero"/>
        <c:auto val="1"/>
        <c:lblAlgn val="ctr"/>
        <c:lblOffset val="100"/>
        <c:noMultiLvlLbl val="0"/>
      </c:catAx>
      <c:valAx>
        <c:axId val="199973940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3691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Swap Rate for 1Y Swap</a:t>
            </a:r>
            <a:r>
              <a:rPr lang="en-US" sz="1200" b="1" baseline="0"/>
              <a:t> Starting from Reference Date in  2010</a:t>
            </a:r>
            <a:endParaRPr lang="en-US" sz="1200" b="1"/>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'Part 2'!$D$78</c:f>
              <c:strCache>
                <c:ptCount val="1"/>
                <c:pt idx="0">
                  <c:v>1Y Swap Term - Swap Rate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'Part 2'!$B$79:$B$90</c:f>
              <c:strCache>
                <c:ptCount val="12"/>
                <c:pt idx="0">
                  <c:v>1/4</c:v>
                </c:pt>
                <c:pt idx="1">
                  <c:v>2/1</c:v>
                </c:pt>
                <c:pt idx="2">
                  <c:v>3/1</c:v>
                </c:pt>
                <c:pt idx="3">
                  <c:v>4/1</c:v>
                </c:pt>
                <c:pt idx="4">
                  <c:v>5/3</c:v>
                </c:pt>
                <c:pt idx="5">
                  <c:v>6/1</c:v>
                </c:pt>
                <c:pt idx="6">
                  <c:v>7/1</c:v>
                </c:pt>
                <c:pt idx="7">
                  <c:v>8/2</c:v>
                </c:pt>
                <c:pt idx="8">
                  <c:v>9/1</c:v>
                </c:pt>
                <c:pt idx="9">
                  <c:v>10/1</c:v>
                </c:pt>
                <c:pt idx="10">
                  <c:v>11/1</c:v>
                </c:pt>
                <c:pt idx="11">
                  <c:v>12/1</c:v>
                </c:pt>
              </c:strCache>
            </c:strRef>
          </c:cat>
          <c:val>
            <c:numRef>
              <c:f>'Part 2'!$D$79:$D$90</c:f>
              <c:numCache>
                <c:formatCode>0.000%</c:formatCode>
                <c:ptCount val="12"/>
                <c:pt idx="0">
                  <c:v>9.8748308148247262E-3</c:v>
                </c:pt>
                <c:pt idx="1">
                  <c:v>8.3800647931902943E-3</c:v>
                </c:pt>
                <c:pt idx="2">
                  <c:v>8.3488417386136729E-3</c:v>
                </c:pt>
                <c:pt idx="3">
                  <c:v>9.0973093491153491E-3</c:v>
                </c:pt>
                <c:pt idx="4">
                  <c:v>1.033350478930299E-2</c:v>
                </c:pt>
                <c:pt idx="5">
                  <c:v>1.2001751306000501E-2</c:v>
                </c:pt>
                <c:pt idx="6">
                  <c:v>1.1650963430167249E-2</c:v>
                </c:pt>
                <c:pt idx="7">
                  <c:v>1.0235555803679276E-2</c:v>
                </c:pt>
                <c:pt idx="8">
                  <c:v>8.3563870510631622E-3</c:v>
                </c:pt>
                <c:pt idx="9">
                  <c:v>7.7473605694075558E-3</c:v>
                </c:pt>
                <c:pt idx="10">
                  <c:v>7.569024700580608E-3</c:v>
                </c:pt>
                <c:pt idx="11">
                  <c:v>7.8624991592166574E-3</c:v>
                </c:pt>
              </c:numCache>
            </c:numRef>
          </c:val>
          <c:smooth val="0"/>
          <c:extLst>
            <c:ext xmlns:c16="http://schemas.microsoft.com/office/drawing/2014/chart" uri="{C3380CC4-5D6E-409C-BE32-E72D297353CC}">
              <c16:uniqueId val="{00000000-3DB2-49E1-9104-7735FE9F4F99}"/>
            </c:ext>
          </c:extLst>
        </c:ser>
        <c:dLbls>
          <c:dLblPos val="t"/>
          <c:showLegendKey val="0"/>
          <c:showVal val="1"/>
          <c:showCatName val="0"/>
          <c:showSerName val="0"/>
          <c:showPercent val="0"/>
          <c:showBubbleSize val="0"/>
        </c:dLbls>
        <c:marker val="1"/>
        <c:smooth val="0"/>
        <c:axId val="1999746896"/>
        <c:axId val="1999739824"/>
      </c:lineChart>
      <c:catAx>
        <c:axId val="19997468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Start</a:t>
                </a:r>
                <a:r>
                  <a:rPr lang="en-US" b="1" baseline="0"/>
                  <a:t> of Swap</a:t>
                </a:r>
                <a:endParaRPr lang="en-US" b="1"/>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39824"/>
        <c:crosses val="autoZero"/>
        <c:auto val="1"/>
        <c:lblAlgn val="ctr"/>
        <c:lblOffset val="100"/>
        <c:noMultiLvlLbl val="0"/>
      </c:catAx>
      <c:valAx>
        <c:axId val="1999739824"/>
        <c:scaling>
          <c:orientation val="minMax"/>
          <c:min val="6.0000000000000019E-3"/>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46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Swap Value at K months from Start Date, 4th</a:t>
            </a:r>
            <a:r>
              <a:rPr lang="en-US" sz="1200" b="1" baseline="0"/>
              <a:t> Jan 2010</a:t>
            </a:r>
            <a:endParaRPr lang="en-US" sz="1200" b="1"/>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'Part 2'!$D$103</c:f>
              <c:strCache>
                <c:ptCount val="1"/>
                <c:pt idx="0">
                  <c:v>Swap Value at K months from Start Date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numFmt formatCode="#,##0.00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'Part 2'!$D$104:$D$114</c:f>
              <c:numCache>
                <c:formatCode>0.00000</c:formatCode>
                <c:ptCount val="11"/>
                <c:pt idx="0">
                  <c:v>2.0965004013724364E-3</c:v>
                </c:pt>
                <c:pt idx="1">
                  <c:v>2.6512431183529639E-3</c:v>
                </c:pt>
                <c:pt idx="2">
                  <c:v>2.4439742474329229E-3</c:v>
                </c:pt>
                <c:pt idx="3">
                  <c:v>1.9400022912201553E-3</c:v>
                </c:pt>
                <c:pt idx="4">
                  <c:v>9.4312094875115271E-4</c:v>
                </c:pt>
                <c:pt idx="5">
                  <c:v>1.2272357445657356E-3</c:v>
                </c:pt>
                <c:pt idx="6">
                  <c:v>1.7386256981388737E-3</c:v>
                </c:pt>
                <c:pt idx="7">
                  <c:v>2.1745210689179117E-3</c:v>
                </c:pt>
                <c:pt idx="8">
                  <c:v>1.8188805055752155E-3</c:v>
                </c:pt>
                <c:pt idx="9">
                  <c:v>1.2576844763765305E-3</c:v>
                </c:pt>
                <c:pt idx="10">
                  <c:v>6.6183103350003769E-4</c:v>
                </c:pt>
              </c:numCache>
            </c:numRef>
          </c:val>
          <c:smooth val="0"/>
          <c:extLst>
            <c:ext xmlns:c16="http://schemas.microsoft.com/office/drawing/2014/chart" uri="{C3380CC4-5D6E-409C-BE32-E72D297353CC}">
              <c16:uniqueId val="{00000001-0D9D-45D5-B3A9-DD589A73DB8D}"/>
            </c:ext>
          </c:extLst>
        </c:ser>
        <c:dLbls>
          <c:showLegendKey val="0"/>
          <c:showVal val="0"/>
          <c:showCatName val="0"/>
          <c:showSerName val="0"/>
          <c:showPercent val="0"/>
          <c:showBubbleSize val="0"/>
        </c:dLbls>
        <c:marker val="1"/>
        <c:smooth val="0"/>
        <c:axId val="1864015760"/>
        <c:axId val="1864002448"/>
      </c:lineChart>
      <c:catAx>
        <c:axId val="18640157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4002448"/>
        <c:crosses val="autoZero"/>
        <c:auto val="1"/>
        <c:lblAlgn val="ctr"/>
        <c:lblOffset val="100"/>
        <c:noMultiLvlLbl val="0"/>
      </c:catAx>
      <c:valAx>
        <c:axId val="186400244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401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391582</xdr:colOff>
      <xdr:row>41</xdr:row>
      <xdr:rowOff>310667</xdr:rowOff>
    </xdr:from>
    <xdr:to>
      <xdr:col>7</xdr:col>
      <xdr:colOff>783166</xdr:colOff>
      <xdr:row>53</xdr:row>
      <xdr:rowOff>359833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41</xdr:row>
      <xdr:rowOff>285750</xdr:rowOff>
    </xdr:from>
    <xdr:to>
      <xdr:col>15</xdr:col>
      <xdr:colOff>524933</xdr:colOff>
      <xdr:row>54</xdr:row>
      <xdr:rowOff>125941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352424</xdr:colOff>
      <xdr:row>109</xdr:row>
      <xdr:rowOff>166687</xdr:rowOff>
    </xdr:from>
    <xdr:to>
      <xdr:col>8</xdr:col>
      <xdr:colOff>219074</xdr:colOff>
      <xdr:row>124</xdr:row>
      <xdr:rowOff>52387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619125</xdr:colOff>
      <xdr:row>106</xdr:row>
      <xdr:rowOff>76200</xdr:rowOff>
    </xdr:from>
    <xdr:to>
      <xdr:col>18</xdr:col>
      <xdr:colOff>238125</xdr:colOff>
      <xdr:row>124</xdr:row>
      <xdr:rowOff>66675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352425</xdr:colOff>
      <xdr:row>138</xdr:row>
      <xdr:rowOff>109537</xdr:rowOff>
    </xdr:from>
    <xdr:to>
      <xdr:col>4</xdr:col>
      <xdr:colOff>876300</xdr:colOff>
      <xdr:row>152</xdr:row>
      <xdr:rowOff>185737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571500</xdr:colOff>
      <xdr:row>19</xdr:row>
      <xdr:rowOff>16668</xdr:rowOff>
    </xdr:from>
    <xdr:to>
      <xdr:col>8</xdr:col>
      <xdr:colOff>533400</xdr:colOff>
      <xdr:row>37</xdr:row>
      <xdr:rowOff>40481</xdr:rowOff>
    </xdr:to>
    <xdr:graphicFrame macro="">
      <xdr:nvGraphicFramePr>
        <xdr:cNvPr id="4" name="Chart 3"/>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552450</xdr:colOff>
      <xdr:row>19</xdr:row>
      <xdr:rowOff>47624</xdr:rowOff>
    </xdr:from>
    <xdr:to>
      <xdr:col>11</xdr:col>
      <xdr:colOff>476250</xdr:colOff>
      <xdr:row>38</xdr:row>
      <xdr:rowOff>19049</xdr:rowOff>
    </xdr:to>
    <mc:AlternateContent xmlns:mc="http://schemas.openxmlformats.org/markup-compatibility/2006" xmlns:a14="http://schemas.microsoft.com/office/drawing/2010/main">
      <mc:Choice Requires="a14">
        <xdr:graphicFrame macro="">
          <xdr:nvGraphicFramePr>
            <xdr:cNvPr id="2" name="Dates D/Maturity(months)"/>
            <xdr:cNvGraphicFramePr/>
          </xdr:nvGraphicFramePr>
          <xdr:xfrm>
            <a:off x="0" y="0"/>
            <a:ext cx="0" cy="0"/>
          </xdr:xfrm>
          <a:graphic>
            <a:graphicData uri="http://schemas.microsoft.com/office/drawing/2010/slicer">
              <sle:slicer xmlns:sle="http://schemas.microsoft.com/office/drawing/2010/slicer" name="Dates D/Maturity(months)"/>
            </a:graphicData>
          </a:graphic>
        </xdr:graphicFrame>
      </mc:Choice>
      <mc:Fallback xmlns="">
        <xdr:sp macro="" textlink="">
          <xdr:nvSpPr>
            <xdr:cNvPr id="0" name=""/>
            <xdr:cNvSpPr>
              <a:spLocks noTextEdit="1"/>
            </xdr:cNvSpPr>
          </xdr:nvSpPr>
          <xdr:spPr>
            <a:xfrm>
              <a:off x="6942859" y="3693101"/>
              <a:ext cx="1828800" cy="3590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359570</xdr:colOff>
      <xdr:row>18</xdr:row>
      <xdr:rowOff>183356</xdr:rowOff>
    </xdr:from>
    <xdr:to>
      <xdr:col>20</xdr:col>
      <xdr:colOff>181841</xdr:colOff>
      <xdr:row>37</xdr:row>
      <xdr:rowOff>169069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209549</xdr:colOff>
      <xdr:row>76</xdr:row>
      <xdr:rowOff>100012</xdr:rowOff>
    </xdr:from>
    <xdr:to>
      <xdr:col>13</xdr:col>
      <xdr:colOff>266700</xdr:colOff>
      <xdr:row>92</xdr:row>
      <xdr:rowOff>9525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129885</xdr:colOff>
      <xdr:row>101</xdr:row>
      <xdr:rowOff>52820</xdr:rowOff>
    </xdr:from>
    <xdr:to>
      <xdr:col>14</xdr:col>
      <xdr:colOff>69272</xdr:colOff>
      <xdr:row>114</xdr:row>
      <xdr:rowOff>8659</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amanen" refreshedDate="45753.950877546296" createdVersion="6" refreshedVersion="6" minRefreshableVersion="3" recordCount="12">
  <cacheSource type="worksheet">
    <worksheetSource ref="B4:N16" sheet="Part 2"/>
  </cacheSource>
  <cacheFields count="13">
    <cacheField name="Dates D/Maturity(months)" numFmtId="49">
      <sharedItems count="12">
        <s v="1/4/2010"/>
        <s v="2/1/2010"/>
        <s v="3/1/2010"/>
        <s v="4/1/2010"/>
        <s v="5/3/2010"/>
        <s v="6/1/2010"/>
        <s v="7/1/2010"/>
        <s v="8/2/2010"/>
        <s v="9/1/2010"/>
        <s v="10/1/2010"/>
        <s v="11/1/2010"/>
        <s v="12/1/2010"/>
      </sharedItems>
    </cacheField>
    <cacheField name="1" numFmtId="10">
      <sharedItems containsSemiMixedTypes="0" containsString="0" containsNumber="1" minValue="2.2813E-3" maxValue="3.5087999999999999E-3" count="12">
        <n v="2.3343999999999999E-3"/>
        <n v="2.2905999999999998E-3"/>
        <n v="2.2813E-3"/>
        <n v="2.4862999999999999E-3"/>
        <n v="2.8468999999999999E-3"/>
        <n v="3.5087999999999999E-3"/>
        <n v="3.4719E-3"/>
        <n v="3.0281000000000001E-3"/>
        <n v="2.5780999999999998E-3"/>
        <n v="2.5688E-3"/>
        <n v="2.5374999999999998E-3"/>
        <n v="2.6530999999999998E-3"/>
      </sharedItems>
    </cacheField>
    <cacheField name="2" numFmtId="10">
      <sharedItems containsSemiMixedTypes="0" containsString="0" containsNumber="1" minValue="2.3906000000000001E-3" maxValue="4.3438000000000001E-3" count="12">
        <n v="2.4344000000000002E-3"/>
        <n v="2.3906000000000001E-3"/>
        <n v="2.3938000000000002E-3"/>
        <n v="2.6694000000000002E-3"/>
        <n v="3.2125000000000001E-3"/>
        <n v="4.3438000000000001E-3"/>
        <n v="4.3062999999999999E-3"/>
        <n v="3.6094E-3"/>
        <n v="2.7469E-3"/>
        <n v="2.7358999999999999E-3"/>
        <n v="2.6859000000000002E-3"/>
        <n v="2.8249999999999998E-3"/>
      </sharedItems>
    </cacheField>
    <cacheField name="3" numFmtId="10">
      <sharedItems containsSemiMixedTypes="0" containsString="0" containsNumber="1" minValue="2.4905999999999999E-3" maxValue="5.3625000000000001E-3"/>
    </cacheField>
    <cacheField name="4" numFmtId="10">
      <sharedItems containsSemiMixedTypes="0" containsString="0" containsNumber="1" minValue="2.7625000000000002E-3" maxValue="6.0774999999999996E-3"/>
    </cacheField>
    <cacheField name="5" numFmtId="10">
      <sharedItems containsSemiMixedTypes="0" containsString="0" containsNumber="1" minValue="3.2437999999999998E-3" maxValue="6.7162999999999997E-3"/>
    </cacheField>
    <cacheField name="6" numFmtId="10">
      <sharedItems containsSemiMixedTypes="0" containsString="0" containsNumber="1" minValue="3.8375000000000002E-3" maxValue="7.6112999999999997E-3"/>
    </cacheField>
    <cacheField name="7" numFmtId="10">
      <sharedItems containsSemiMixedTypes="0" containsString="0" containsNumber="1" minValue="4.5481000000000002E-3" maxValue="8.3213000000000002E-3"/>
    </cacheField>
    <cacheField name="8" numFmtId="10">
      <sharedItems containsSemiMixedTypes="0" containsString="0" containsNumber="1" minValue="5.2750000000000002E-3" maxValue="9.0363000000000006E-3"/>
    </cacheField>
    <cacheField name="9" numFmtId="10">
      <sharedItems containsSemiMixedTypes="0" containsString="0" containsNumber="1" minValue="5.9312999999999996E-3" maxValue="9.8718999999999994E-3"/>
    </cacheField>
    <cacheField name="10" numFmtId="10">
      <sharedItems containsSemiMixedTypes="0" containsString="0" containsNumber="1" minValue="6.4749999999999999E-3" maxValue="1.05863E-2"/>
    </cacheField>
    <cacheField name="11" numFmtId="10">
      <sharedItems containsSemiMixedTypes="0" containsString="0" containsNumber="1" minValue="7.0280999999999998E-3" maxValue="1.1367499999999999E-2"/>
    </cacheField>
    <cacheField name="12" numFmtId="10">
      <sharedItems containsSemiMixedTypes="0" containsString="0" containsNumber="1" minValue="7.6038E-3" maxValue="1.2087499999999999E-2"/>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2">
  <r>
    <x v="0"/>
    <x v="0"/>
    <x v="0"/>
    <n v="2.5438000000000001E-3"/>
    <n v="2.9125000000000002E-3"/>
    <n v="3.5025E-3"/>
    <n v="4.3438000000000001E-3"/>
    <n v="5.1250000000000002E-3"/>
    <n v="6.1999999999999998E-3"/>
    <n v="7.1812999999999998E-3"/>
    <n v="8.0874999999999992E-3"/>
    <n v="9.0063000000000001E-3"/>
    <n v="9.9375000000000002E-3"/>
  </r>
  <r>
    <x v="1"/>
    <x v="1"/>
    <x v="1"/>
    <n v="2.4905999999999999E-3"/>
    <n v="2.7625000000000002E-3"/>
    <n v="3.2437999999999998E-3"/>
    <n v="3.8375000000000002E-3"/>
    <n v="4.5563000000000001E-3"/>
    <n v="5.3438000000000001E-3"/>
    <n v="6.1313000000000001E-3"/>
    <n v="6.9125000000000002E-3"/>
    <n v="7.6563000000000004E-3"/>
    <n v="8.4250000000000002E-3"/>
  </r>
  <r>
    <x v="2"/>
    <x v="2"/>
    <x v="2"/>
    <n v="2.5168999999999999E-3"/>
    <n v="2.8563E-3"/>
    <n v="3.2669000000000001E-3"/>
    <n v="3.8375000000000002E-3"/>
    <n v="4.5481000000000002E-3"/>
    <n v="5.2750000000000002E-3"/>
    <n v="6.0137999999999997E-3"/>
    <n v="6.7930999999999998E-3"/>
    <n v="7.5938000000000004E-3"/>
    <n v="8.3937999999999999E-3"/>
  </r>
  <r>
    <x v="3"/>
    <x v="3"/>
    <x v="3"/>
    <n v="2.9150000000000001E-3"/>
    <n v="3.2850000000000002E-3"/>
    <n v="3.7063E-3"/>
    <n v="4.4156000000000004E-3"/>
    <n v="5.1562999999999999E-3"/>
    <n v="5.8906000000000002E-3"/>
    <n v="6.7124999999999997E-3"/>
    <n v="7.5294000000000003E-3"/>
    <n v="8.3374999999999994E-3"/>
    <n v="9.1500000000000001E-3"/>
  </r>
  <r>
    <x v="4"/>
    <x v="4"/>
    <x v="4"/>
    <n v="3.5312999999999998E-3"/>
    <n v="4.0499999999999998E-3"/>
    <n v="4.6375000000000001E-3"/>
    <n v="5.4577999999999996E-3"/>
    <n v="6.2531000000000002E-3"/>
    <n v="7.0375000000000004E-3"/>
    <n v="7.8688000000000004E-3"/>
    <n v="8.6718999999999997E-3"/>
    <n v="9.4906000000000001E-3"/>
    <n v="1.04E-2"/>
  </r>
  <r>
    <x v="5"/>
    <x v="5"/>
    <x v="5"/>
    <n v="5.3625000000000001E-3"/>
    <n v="6.0774999999999996E-3"/>
    <n v="6.7118999999999998E-3"/>
    <n v="7.6112999999999997E-3"/>
    <n v="8.3213000000000002E-3"/>
    <n v="9.0363000000000006E-3"/>
    <n v="9.8718999999999994E-3"/>
    <n v="1.05863E-2"/>
    <n v="1.1367499999999999E-2"/>
    <n v="1.2087499999999999E-2"/>
  </r>
  <r>
    <x v="6"/>
    <x v="6"/>
    <x v="6"/>
    <n v="5.3331000000000003E-3"/>
    <n v="6.0337999999999998E-3"/>
    <n v="6.7162999999999997E-3"/>
    <n v="7.5100000000000002E-3"/>
    <n v="8.1819000000000006E-3"/>
    <n v="8.8655999999999995E-3"/>
    <n v="9.5375000000000008E-3"/>
    <n v="1.025E-2"/>
    <n v="1.10125E-2"/>
    <n v="1.17313E-2"/>
  </r>
  <r>
    <x v="7"/>
    <x v="7"/>
    <x v="7"/>
    <n v="4.4469000000000002E-3"/>
    <n v="5.1212999999999996E-3"/>
    <n v="5.8125E-3"/>
    <n v="6.5994000000000001E-3"/>
    <n v="7.1944000000000001E-3"/>
    <n v="7.7374999999999996E-3"/>
    <n v="8.2781E-3"/>
    <n v="8.9656000000000007E-3"/>
    <n v="9.6562999999999996E-3"/>
    <n v="1.0297499999999999E-2"/>
  </r>
  <r>
    <x v="8"/>
    <x v="8"/>
    <x v="8"/>
    <n v="2.9562999999999998E-3"/>
    <n v="3.5593999999999999E-3"/>
    <n v="4.2818999999999999E-3"/>
    <n v="4.9624999999999999E-3"/>
    <n v="5.535E-3"/>
    <n v="6.0888000000000001E-3"/>
    <n v="6.5813E-3"/>
    <n v="7.1574999999999998E-3"/>
    <n v="7.7688000000000002E-3"/>
    <n v="8.3987999999999997E-3"/>
  </r>
  <r>
    <x v="9"/>
    <x v="9"/>
    <x v="9"/>
    <n v="2.9063000000000001E-3"/>
    <n v="3.4469000000000001E-3"/>
    <n v="4.0813000000000004E-3"/>
    <n v="4.6312999999999997E-3"/>
    <n v="5.1343999999999999E-3"/>
    <n v="5.6375000000000001E-3"/>
    <n v="6.1203000000000004E-3"/>
    <n v="6.6531000000000003E-3"/>
    <n v="7.1843999999999996E-3"/>
    <n v="7.7837999999999996E-3"/>
  </r>
  <r>
    <x v="10"/>
    <x v="10"/>
    <x v="10"/>
    <n v="2.8593999999999998E-3"/>
    <n v="3.3500000000000001E-3"/>
    <n v="3.9624999999999999E-3"/>
    <n v="4.4562999999999998E-3"/>
    <n v="4.9350000000000002E-3"/>
    <n v="5.4124999999999998E-3"/>
    <n v="5.9312999999999996E-3"/>
    <n v="6.4749999999999999E-3"/>
    <n v="7.0280999999999998E-3"/>
    <n v="7.6038E-3"/>
  </r>
  <r>
    <x v="11"/>
    <x v="11"/>
    <x v="11"/>
    <n v="3.0344E-3"/>
    <n v="3.5030999999999999E-3"/>
    <n v="4.1094E-3"/>
    <n v="4.6655999999999998E-3"/>
    <n v="5.1875000000000003E-3"/>
    <n v="5.7124999999999997E-3"/>
    <n v="6.2155999999999999E-3"/>
    <n v="6.7313E-3"/>
    <n v="7.2906000000000004E-3"/>
    <n v="7.9000000000000008E-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3:C35" firstHeaderRow="1" firstDataRow="1" firstDataCol="1" rowPageCount="1" colPageCount="1"/>
  <pivotFields count="13">
    <pivotField axis="axisPage" multipleItemSelectionAllowed="1" showAll="0">
      <items count="13">
        <item h="1" x="0"/>
        <item h="1" x="9"/>
        <item h="1" x="10"/>
        <item h="1" x="11"/>
        <item h="1" x="1"/>
        <item h="1" x="2"/>
        <item h="1" x="3"/>
        <item x="4"/>
        <item h="1" x="5"/>
        <item h="1" x="6"/>
        <item h="1" x="7"/>
        <item h="1" x="8"/>
        <item t="default"/>
      </items>
    </pivotField>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s>
  <rowFields count="1">
    <field x="-2"/>
  </rowFields>
  <rowItems count="12">
    <i>
      <x/>
    </i>
    <i i="1">
      <x v="1"/>
    </i>
    <i i="2">
      <x v="2"/>
    </i>
    <i i="3">
      <x v="3"/>
    </i>
    <i i="4">
      <x v="4"/>
    </i>
    <i i="5">
      <x v="5"/>
    </i>
    <i i="6">
      <x v="6"/>
    </i>
    <i i="7">
      <x v="7"/>
    </i>
    <i i="8">
      <x v="8"/>
    </i>
    <i i="9">
      <x v="9"/>
    </i>
    <i i="10">
      <x v="10"/>
    </i>
    <i i="11">
      <x v="11"/>
    </i>
  </rowItems>
  <colItems count="1">
    <i/>
  </colItems>
  <pageFields count="1">
    <pageField fld="0" hier="-1"/>
  </pageFields>
  <dataFields count="12">
    <dataField name="1M" fld="1" baseField="0" baseItem="0"/>
    <dataField name="2M" fld="2" baseField="0" baseItem="0"/>
    <dataField name="3M" fld="3" baseField="0" baseItem="0"/>
    <dataField name="4M" fld="4" baseField="0" baseItem="0"/>
    <dataField name="5M" fld="5" baseField="0" baseItem="0"/>
    <dataField name="6M" fld="6" baseField="0" baseItem="0"/>
    <dataField name="7M" fld="7" baseField="0" baseItem="0"/>
    <dataField name="8M" fld="8" baseField="0" baseItem="0"/>
    <dataField name="9M" fld="9" baseField="0" baseItem="0"/>
    <dataField name="10M" fld="10" baseField="0" baseItem="0"/>
    <dataField name="11M" fld="11" baseField="0" baseItem="0"/>
    <dataField name="12M" fld="12" baseField="0" baseItem="0"/>
  </dataFields>
  <chartFormats count="1">
    <chartFormat chart="0"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s_D_Maturity_months" sourceName="Dates D/Maturity(months)">
  <pivotTables>
    <pivotTable tabId="2" name="PivotTable2"/>
  </pivotTables>
  <data>
    <tabular pivotCacheId="1">
      <items count="12">
        <i x="0"/>
        <i x="1"/>
        <i x="2"/>
        <i x="3"/>
        <i x="4" s="1"/>
        <i x="5"/>
        <i x="6"/>
        <i x="7"/>
        <i x="8"/>
        <i x="9"/>
        <i x="10"/>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s D/Maturity(months)" cache="Slicer_Dates_D_Maturity_months" caption="Reference Dat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O157"/>
  <sheetViews>
    <sheetView topLeftCell="A121" zoomScale="80" zoomScaleNormal="80" workbookViewId="0">
      <selection activeCell="O90" sqref="O90"/>
    </sheetView>
  </sheetViews>
  <sheetFormatPr defaultRowHeight="15" x14ac:dyDescent="0.25"/>
  <cols>
    <col min="1" max="1" width="5.42578125" customWidth="1"/>
    <col min="2" max="2" width="14.28515625" style="1" customWidth="1"/>
    <col min="3" max="3" width="14.42578125" style="4" customWidth="1"/>
    <col min="4" max="4" width="17.85546875" customWidth="1"/>
    <col min="5" max="5" width="14.85546875" customWidth="1"/>
    <col min="6" max="6" width="17" style="9" customWidth="1"/>
    <col min="7" max="7" width="6.28515625" style="9" customWidth="1"/>
    <col min="8" max="8" width="14.5703125" style="12" customWidth="1"/>
    <col min="9" max="9" width="15.140625" customWidth="1"/>
    <col min="10" max="12" width="14.7109375" customWidth="1"/>
  </cols>
  <sheetData>
    <row r="1" spans="2:12" x14ac:dyDescent="0.25">
      <c r="B1" s="120" t="s">
        <v>0</v>
      </c>
      <c r="C1" s="121">
        <v>45751</v>
      </c>
      <c r="F1"/>
      <c r="G1"/>
    </row>
    <row r="2" spans="2:12" x14ac:dyDescent="0.25">
      <c r="F2"/>
      <c r="G2"/>
    </row>
    <row r="3" spans="2:12" ht="15.75" thickBot="1" x14ac:dyDescent="0.3">
      <c r="B3" s="102" t="s">
        <v>11</v>
      </c>
      <c r="C3" s="102"/>
      <c r="D3" s="102"/>
      <c r="E3" s="102"/>
      <c r="F3" s="102"/>
      <c r="G3"/>
      <c r="H3" s="102" t="s">
        <v>12</v>
      </c>
      <c r="I3" s="102"/>
      <c r="J3" s="102"/>
      <c r="K3" s="102"/>
      <c r="L3" s="102"/>
    </row>
    <row r="4" spans="2:12" s="5" customFormat="1" ht="48" customHeight="1" x14ac:dyDescent="0.25">
      <c r="B4" s="48" t="s">
        <v>5</v>
      </c>
      <c r="C4" s="49" t="s">
        <v>1</v>
      </c>
      <c r="D4" s="50" t="s">
        <v>2</v>
      </c>
      <c r="E4" s="50" t="s">
        <v>3</v>
      </c>
      <c r="F4" s="51" t="s">
        <v>4</v>
      </c>
      <c r="G4" s="11"/>
      <c r="H4" s="45" t="s">
        <v>6</v>
      </c>
      <c r="I4" s="46" t="s">
        <v>7</v>
      </c>
      <c r="J4" s="46" t="s">
        <v>8</v>
      </c>
      <c r="K4" s="46" t="s">
        <v>9</v>
      </c>
      <c r="L4" s="47" t="s">
        <v>10</v>
      </c>
    </row>
    <row r="5" spans="2:12" ht="21.75" customHeight="1" x14ac:dyDescent="0.25">
      <c r="B5" s="26">
        <v>45809</v>
      </c>
      <c r="C5" s="6">
        <v>95.97</v>
      </c>
      <c r="D5" s="7">
        <f>100-C5</f>
        <v>4.0300000000000011</v>
      </c>
      <c r="E5" s="15">
        <v>45917</v>
      </c>
      <c r="F5" s="27">
        <f>_xlfn.DAYS(E5,DATE(2025,6,18))</f>
        <v>91</v>
      </c>
      <c r="G5"/>
      <c r="H5" s="105">
        <v>4.0300000000000011</v>
      </c>
      <c r="I5" s="106"/>
      <c r="J5" s="107"/>
      <c r="K5" s="107"/>
      <c r="L5" s="108"/>
    </row>
    <row r="6" spans="2:12" ht="30.75" customHeight="1" x14ac:dyDescent="0.25">
      <c r="B6" s="26">
        <v>45901</v>
      </c>
      <c r="C6" s="6">
        <v>96.314999999999998</v>
      </c>
      <c r="D6" s="7">
        <f t="shared" ref="D6:D41" si="0">100-C6</f>
        <v>3.6850000000000023</v>
      </c>
      <c r="E6" s="15">
        <v>46008</v>
      </c>
      <c r="F6" s="27">
        <f>_xlfn.DAYS(E6,E5)</f>
        <v>91</v>
      </c>
      <c r="G6"/>
      <c r="H6" s="105">
        <v>3.8762694451388753</v>
      </c>
      <c r="I6" s="109">
        <v>3.6850000000000023</v>
      </c>
      <c r="J6" s="107"/>
      <c r="K6" s="107"/>
      <c r="L6" s="108"/>
    </row>
    <row r="7" spans="2:12" ht="15.75" customHeight="1" x14ac:dyDescent="0.25">
      <c r="B7" s="26">
        <v>45992</v>
      </c>
      <c r="C7" s="6">
        <v>96.564999999999998</v>
      </c>
      <c r="D7" s="7">
        <f t="shared" si="0"/>
        <v>3.4350000000000023</v>
      </c>
      <c r="E7" s="15">
        <v>46099</v>
      </c>
      <c r="F7" s="27">
        <f t="shared" ref="F7:F41" si="1">_xlfn.DAYS(E7,E6)</f>
        <v>91</v>
      </c>
      <c r="G7"/>
      <c r="H7" s="105">
        <v>3.751617846472366</v>
      </c>
      <c r="I7" s="109">
        <v>3.5759982739583425</v>
      </c>
      <c r="J7" s="110">
        <v>3.4350000000000018</v>
      </c>
      <c r="K7" s="107"/>
      <c r="L7" s="108"/>
    </row>
    <row r="8" spans="2:12" x14ac:dyDescent="0.25">
      <c r="B8" s="26">
        <v>46082</v>
      </c>
      <c r="C8" s="6">
        <v>96.734999999999999</v>
      </c>
      <c r="D8" s="7">
        <f t="shared" si="0"/>
        <v>3.2650000000000006</v>
      </c>
      <c r="E8" s="23">
        <v>46190</v>
      </c>
      <c r="F8" s="27">
        <f t="shared" si="1"/>
        <v>91</v>
      </c>
      <c r="G8"/>
      <c r="H8" s="105">
        <v>3.6531855085304041</v>
      </c>
      <c r="I8" s="109">
        <v>3.4920077886975376</v>
      </c>
      <c r="J8" s="110">
        <v>3.3641748614583049</v>
      </c>
      <c r="K8" s="110">
        <v>3.2650000000000006</v>
      </c>
      <c r="L8" s="108"/>
    </row>
    <row r="9" spans="2:12" ht="15.75" customHeight="1" x14ac:dyDescent="0.25">
      <c r="B9" s="26">
        <v>46174</v>
      </c>
      <c r="C9" s="6">
        <v>96.83</v>
      </c>
      <c r="D9" s="7">
        <f t="shared" si="0"/>
        <v>3.1700000000000017</v>
      </c>
      <c r="E9" s="23">
        <v>46281</v>
      </c>
      <c r="F9" s="27">
        <f t="shared" si="1"/>
        <v>91</v>
      </c>
      <c r="G9"/>
      <c r="H9" s="105">
        <v>3.5799669495720057</v>
      </c>
      <c r="I9" s="109">
        <v>3.4324920808315902</v>
      </c>
      <c r="J9" s="110">
        <v>3.3174214543478602</v>
      </c>
      <c r="K9" s="110">
        <v>3.2305813131944507</v>
      </c>
      <c r="L9" s="111">
        <v>3.1700000000000021</v>
      </c>
    </row>
    <row r="10" spans="2:12" ht="30.75" customHeight="1" x14ac:dyDescent="0.25">
      <c r="B10" s="26">
        <v>46266</v>
      </c>
      <c r="C10" s="6">
        <v>96.864999999999995</v>
      </c>
      <c r="D10" s="7">
        <f t="shared" si="0"/>
        <v>3.1350000000000051</v>
      </c>
      <c r="E10" s="23">
        <v>46372</v>
      </c>
      <c r="F10" s="27">
        <f t="shared" si="1"/>
        <v>91</v>
      </c>
      <c r="G10"/>
      <c r="H10" s="105">
        <v>3.5294472466620506</v>
      </c>
      <c r="I10" s="109">
        <v>3.3947545202937008</v>
      </c>
      <c r="J10" s="110">
        <v>3.2915329778359572</v>
      </c>
      <c r="K10" s="110">
        <v>3.2157882160173075</v>
      </c>
      <c r="L10" s="111">
        <v>3.1650604645833003</v>
      </c>
    </row>
    <row r="11" spans="2:12" ht="15.75" customHeight="1" x14ac:dyDescent="0.25">
      <c r="B11" s="26">
        <v>46357</v>
      </c>
      <c r="C11" s="6">
        <v>96.86</v>
      </c>
      <c r="D11" s="7">
        <f t="shared" si="0"/>
        <v>3.1400000000000006</v>
      </c>
      <c r="E11" s="23">
        <v>46463</v>
      </c>
      <c r="F11" s="27">
        <f t="shared" si="1"/>
        <v>91</v>
      </c>
      <c r="G11"/>
      <c r="H11" s="105">
        <v>3.4978239318117921</v>
      </c>
      <c r="I11" s="109">
        <v>3.3747495344259715</v>
      </c>
      <c r="J11" s="110">
        <v>3.2821268852262531</v>
      </c>
      <c r="K11" s="110">
        <v>3.2159844812805871</v>
      </c>
      <c r="L11" s="111">
        <v>3.1734548352249878</v>
      </c>
    </row>
    <row r="12" spans="2:12" ht="30.75" customHeight="1" x14ac:dyDescent="0.25">
      <c r="B12" s="26">
        <v>46447</v>
      </c>
      <c r="C12" s="6">
        <v>96.83</v>
      </c>
      <c r="D12" s="7">
        <f t="shared" si="0"/>
        <v>3.1700000000000017</v>
      </c>
      <c r="E12" s="23">
        <v>46554</v>
      </c>
      <c r="F12" s="27">
        <f t="shared" si="1"/>
        <v>91</v>
      </c>
      <c r="G12"/>
      <c r="H12" s="105">
        <v>3.4813706656383339</v>
      </c>
      <c r="I12" s="109">
        <v>3.3686785056554895</v>
      </c>
      <c r="J12" s="110">
        <v>3.2853556252482896</v>
      </c>
      <c r="K12" s="110">
        <v>3.2274034748759108</v>
      </c>
      <c r="L12" s="111">
        <v>3.1916629288420264</v>
      </c>
    </row>
    <row r="13" spans="2:12" ht="15.75" customHeight="1" x14ac:dyDescent="0.25">
      <c r="B13" s="26">
        <v>46539</v>
      </c>
      <c r="C13" s="6">
        <v>96.79</v>
      </c>
      <c r="D13" s="7">
        <f t="shared" si="0"/>
        <v>3.2099999999999937</v>
      </c>
      <c r="E13" s="23">
        <v>46645</v>
      </c>
      <c r="F13" s="27">
        <f t="shared" si="1"/>
        <v>91</v>
      </c>
      <c r="G13"/>
      <c r="H13" s="105">
        <v>3.4763280777313463</v>
      </c>
      <c r="I13" s="109">
        <v>3.3727609589346939</v>
      </c>
      <c r="J13" s="110">
        <v>3.2974401843007066</v>
      </c>
      <c r="K13" s="110">
        <v>3.2463259704763567</v>
      </c>
      <c r="L13" s="111">
        <v>3.2160484910323808</v>
      </c>
    </row>
    <row r="14" spans="2:12" ht="30.75" customHeight="1" x14ac:dyDescent="0.25">
      <c r="B14" s="26">
        <v>46631</v>
      </c>
      <c r="C14" s="6">
        <v>96.75</v>
      </c>
      <c r="D14" s="7">
        <f t="shared" si="0"/>
        <v>3.25</v>
      </c>
      <c r="E14" s="23">
        <v>46736</v>
      </c>
      <c r="F14" s="27">
        <f t="shared" si="1"/>
        <v>91</v>
      </c>
      <c r="G14"/>
      <c r="H14" s="105">
        <v>3.4793983706829392</v>
      </c>
      <c r="I14" s="109">
        <v>3.3837503351914564</v>
      </c>
      <c r="J14" s="110">
        <v>3.3152133749490482</v>
      </c>
      <c r="K14" s="110">
        <v>3.2697103772123146</v>
      </c>
      <c r="L14" s="111">
        <v>3.2437243522775066</v>
      </c>
    </row>
    <row r="15" spans="2:12" ht="15.75" customHeight="1" x14ac:dyDescent="0.25">
      <c r="B15" s="26">
        <v>46722</v>
      </c>
      <c r="C15" s="6">
        <v>96.71</v>
      </c>
      <c r="D15" s="7">
        <f t="shared" si="0"/>
        <v>3.2900000000000063</v>
      </c>
      <c r="E15" s="23">
        <v>46827</v>
      </c>
      <c r="F15" s="27">
        <f t="shared" si="1"/>
        <v>91</v>
      </c>
      <c r="G15"/>
      <c r="H15" s="105">
        <v>3.4884858187571819</v>
      </c>
      <c r="I15" s="109">
        <v>3.3997018269936325</v>
      </c>
      <c r="J15" s="110">
        <v>3.3369190921109073</v>
      </c>
      <c r="K15" s="110">
        <v>3.296039740230341</v>
      </c>
      <c r="L15" s="111">
        <v>3.2734575075194927</v>
      </c>
    </row>
    <row r="16" spans="2:12" ht="30.75" customHeight="1" x14ac:dyDescent="0.25">
      <c r="B16" s="26">
        <v>46813</v>
      </c>
      <c r="C16" s="6">
        <v>96.67</v>
      </c>
      <c r="D16" s="7">
        <f t="shared" si="0"/>
        <v>3.3299999999999983</v>
      </c>
      <c r="E16" s="23">
        <v>46925</v>
      </c>
      <c r="F16" s="27">
        <f t="shared" si="1"/>
        <v>98</v>
      </c>
      <c r="G16"/>
      <c r="H16" s="105">
        <v>3.503156552908937</v>
      </c>
      <c r="I16" s="109">
        <v>3.4207473342166241</v>
      </c>
      <c r="J16" s="110">
        <v>3.3631960828295044</v>
      </c>
      <c r="K16" s="110">
        <v>3.3264026051648785</v>
      </c>
      <c r="L16" s="111">
        <v>3.3067138798484699</v>
      </c>
    </row>
    <row r="17" spans="2:12" ht="15.75" customHeight="1" x14ac:dyDescent="0.25">
      <c r="B17" s="26">
        <v>46905</v>
      </c>
      <c r="C17" s="6">
        <v>96.63</v>
      </c>
      <c r="D17" s="7">
        <f t="shared" si="0"/>
        <v>3.3700000000000045</v>
      </c>
      <c r="E17" s="23">
        <v>47016</v>
      </c>
      <c r="F17" s="27">
        <f t="shared" si="1"/>
        <v>91</v>
      </c>
      <c r="G17"/>
      <c r="H17" s="105">
        <v>3.5205339838552239</v>
      </c>
      <c r="I17" s="109">
        <v>3.4432724743129359</v>
      </c>
      <c r="J17" s="110">
        <v>3.3898736482485377</v>
      </c>
      <c r="K17" s="110">
        <v>3.3562533921538664</v>
      </c>
      <c r="L17" s="111">
        <v>3.3387513677279141</v>
      </c>
    </row>
    <row r="18" spans="2:12" ht="30.75" customHeight="1" x14ac:dyDescent="0.25">
      <c r="B18" s="26">
        <v>46997</v>
      </c>
      <c r="C18" s="6">
        <v>96.59</v>
      </c>
      <c r="D18" s="7">
        <f t="shared" si="0"/>
        <v>3.4099999999999966</v>
      </c>
      <c r="E18" s="23">
        <v>47107</v>
      </c>
      <c r="F18" s="27">
        <f t="shared" si="1"/>
        <v>91</v>
      </c>
      <c r="G18"/>
      <c r="H18" s="105">
        <v>3.5408721393873845</v>
      </c>
      <c r="I18" s="109">
        <v>3.4681385098386994</v>
      </c>
      <c r="J18" s="110">
        <v>3.4183404593308366</v>
      </c>
      <c r="K18" s="110">
        <v>3.3874237548424508</v>
      </c>
      <c r="L18" s="111">
        <v>3.3717450098949699</v>
      </c>
    </row>
    <row r="19" spans="2:12" ht="15.75" customHeight="1" x14ac:dyDescent="0.25">
      <c r="B19" s="26">
        <v>47088</v>
      </c>
      <c r="C19" s="6">
        <v>96.55</v>
      </c>
      <c r="D19" s="7">
        <f t="shared" si="0"/>
        <v>3.4500000000000028</v>
      </c>
      <c r="E19" s="23">
        <v>47198</v>
      </c>
      <c r="F19" s="27">
        <f t="shared" si="1"/>
        <v>91</v>
      </c>
      <c r="G19"/>
      <c r="H19" s="105">
        <v>3.5636761408981679</v>
      </c>
      <c r="I19" s="109">
        <v>3.4949464837113968</v>
      </c>
      <c r="J19" s="110">
        <v>3.4482926127662372</v>
      </c>
      <c r="K19" s="110">
        <v>3.4197003022206593</v>
      </c>
      <c r="L19" s="111">
        <v>3.4055595565146382</v>
      </c>
    </row>
    <row r="20" spans="2:12" ht="30.75" customHeight="1" x14ac:dyDescent="0.25">
      <c r="B20" s="26">
        <v>47178</v>
      </c>
      <c r="C20" s="6">
        <v>96.515000000000001</v>
      </c>
      <c r="D20" s="7">
        <f t="shared" si="0"/>
        <v>3.4849999999999994</v>
      </c>
      <c r="E20" s="23">
        <v>47289</v>
      </c>
      <c r="F20" s="27">
        <f t="shared" si="1"/>
        <v>91</v>
      </c>
      <c r="G20"/>
      <c r="H20" s="105">
        <v>3.5882232151826741</v>
      </c>
      <c r="I20" s="109">
        <v>3.5230327547916893</v>
      </c>
      <c r="J20" s="110">
        <v>3.4791193711819672</v>
      </c>
      <c r="K20" s="110">
        <v>3.4525153027843598</v>
      </c>
      <c r="L20" s="111">
        <v>3.4396539150186562</v>
      </c>
    </row>
    <row r="21" spans="2:12" ht="15.75" customHeight="1" x14ac:dyDescent="0.25">
      <c r="B21" s="26">
        <v>47270</v>
      </c>
      <c r="C21" s="6">
        <v>96.474999999999994</v>
      </c>
      <c r="D21" s="7">
        <f t="shared" si="0"/>
        <v>3.5250000000000057</v>
      </c>
      <c r="E21" s="23">
        <v>47380</v>
      </c>
      <c r="F21" s="27">
        <f t="shared" si="1"/>
        <v>91</v>
      </c>
      <c r="G21"/>
      <c r="H21" s="105">
        <v>3.6146212515166565</v>
      </c>
      <c r="I21" s="109">
        <v>3.5525942159577535</v>
      </c>
      <c r="J21" s="110">
        <v>3.5111067281502302</v>
      </c>
      <c r="K21" s="110">
        <v>3.4862424642384502</v>
      </c>
      <c r="L21" s="111">
        <v>3.4744854020042655</v>
      </c>
    </row>
    <row r="22" spans="2:12" ht="30.75" customHeight="1" x14ac:dyDescent="0.25">
      <c r="B22" s="26">
        <v>47362</v>
      </c>
      <c r="C22" s="6">
        <v>96.43</v>
      </c>
      <c r="D22" s="7">
        <f t="shared" si="0"/>
        <v>3.5699999999999932</v>
      </c>
      <c r="E22" s="23">
        <v>47471</v>
      </c>
      <c r="F22" s="27">
        <f t="shared" si="1"/>
        <v>91</v>
      </c>
      <c r="G22"/>
      <c r="H22" s="105">
        <v>3.642967334213798</v>
      </c>
      <c r="I22" s="109">
        <v>3.5837953352102359</v>
      </c>
      <c r="J22" s="110">
        <v>3.5444839326703543</v>
      </c>
      <c r="K22" s="110">
        <v>3.5211715826608918</v>
      </c>
      <c r="L22" s="111">
        <v>3.5103975702184917</v>
      </c>
    </row>
    <row r="23" spans="2:12" ht="15.75" customHeight="1" x14ac:dyDescent="0.25">
      <c r="B23" s="26">
        <v>47453</v>
      </c>
      <c r="C23" s="6">
        <v>96.385000000000005</v>
      </c>
      <c r="D23" s="7">
        <f t="shared" si="0"/>
        <v>3.6149999999999949</v>
      </c>
      <c r="E23" s="23">
        <v>47562</v>
      </c>
      <c r="F23" s="27">
        <f t="shared" si="1"/>
        <v>91</v>
      </c>
      <c r="G23"/>
      <c r="H23" s="105">
        <v>3.6730454416988301</v>
      </c>
      <c r="I23" s="109">
        <v>3.6164583589365904</v>
      </c>
      <c r="J23" s="110">
        <v>3.5791057859367066</v>
      </c>
      <c r="K23" s="110">
        <v>3.5571825837791753</v>
      </c>
      <c r="L23" s="111">
        <v>3.5472856030347422</v>
      </c>
    </row>
    <row r="24" spans="2:12" ht="30.75" customHeight="1" x14ac:dyDescent="0.25">
      <c r="B24" s="26">
        <v>47543</v>
      </c>
      <c r="C24" s="6">
        <v>96.344999999999999</v>
      </c>
      <c r="D24" s="7">
        <f t="shared" si="0"/>
        <v>3.6550000000000011</v>
      </c>
      <c r="E24" s="23">
        <v>47654</v>
      </c>
      <c r="F24" s="27">
        <f t="shared" si="1"/>
        <v>92</v>
      </c>
      <c r="G24"/>
      <c r="H24" s="105">
        <v>3.7047188564332867</v>
      </c>
      <c r="I24" s="109">
        <v>3.650490303198624</v>
      </c>
      <c r="J24" s="110">
        <v>3.6149100310827076</v>
      </c>
      <c r="K24" s="110">
        <v>3.5942301274014961</v>
      </c>
      <c r="L24" s="111">
        <v>3.5851059915286601</v>
      </c>
    </row>
    <row r="25" spans="2:12" ht="15.75" customHeight="1" x14ac:dyDescent="0.25">
      <c r="B25" s="26">
        <v>47635</v>
      </c>
      <c r="C25" s="6">
        <v>96.305000000000007</v>
      </c>
      <c r="D25" s="7">
        <f t="shared" si="0"/>
        <v>3.6949999999999932</v>
      </c>
      <c r="E25" s="23">
        <v>47744</v>
      </c>
      <c r="F25" s="27">
        <f t="shared" si="1"/>
        <v>90</v>
      </c>
      <c r="G25"/>
      <c r="H25" s="105">
        <v>3.73687930546278</v>
      </c>
      <c r="I25" s="109">
        <v>3.6847431503609052</v>
      </c>
      <c r="J25" s="110">
        <v>3.6507237022272472</v>
      </c>
      <c r="K25" s="110">
        <v>3.6311285670858595</v>
      </c>
      <c r="L25" s="111">
        <v>3.622669928890343</v>
      </c>
    </row>
    <row r="26" spans="2:12" ht="30.75" customHeight="1" x14ac:dyDescent="0.25">
      <c r="B26" s="26">
        <v>47727</v>
      </c>
      <c r="C26" s="6">
        <v>96.265000000000001</v>
      </c>
      <c r="D26" s="7">
        <f t="shared" si="0"/>
        <v>3.7349999999999994</v>
      </c>
      <c r="E26" s="23">
        <v>47835</v>
      </c>
      <c r="F26" s="27">
        <f t="shared" si="1"/>
        <v>91</v>
      </c>
      <c r="G26"/>
      <c r="H26" s="105">
        <v>3.7704769063216084</v>
      </c>
      <c r="I26" s="109">
        <v>3.7202656275738488</v>
      </c>
      <c r="J26" s="110">
        <v>3.6876720005764891</v>
      </c>
      <c r="K26" s="110">
        <v>3.6690587722678103</v>
      </c>
      <c r="L26" s="111">
        <v>3.6611944103027207</v>
      </c>
    </row>
    <row r="27" spans="2:12" ht="15.75" customHeight="1" x14ac:dyDescent="0.25">
      <c r="B27" s="26">
        <v>47818</v>
      </c>
      <c r="C27" s="6">
        <v>96.23</v>
      </c>
      <c r="D27" s="7">
        <f t="shared" si="0"/>
        <v>3.769999999999996</v>
      </c>
      <c r="E27" s="23">
        <v>47926</v>
      </c>
      <c r="F27" s="27">
        <f t="shared" si="1"/>
        <v>91</v>
      </c>
      <c r="G27"/>
      <c r="H27" s="105">
        <v>3.804830802049175</v>
      </c>
      <c r="I27" s="109">
        <v>3.7563656125913503</v>
      </c>
      <c r="J27" s="110">
        <v>3.7250532189468508</v>
      </c>
      <c r="K27" s="110">
        <v>3.7073100499224618</v>
      </c>
      <c r="L27" s="111">
        <v>3.6999591748713589</v>
      </c>
    </row>
    <row r="28" spans="2:12" ht="30.75" customHeight="1" x14ac:dyDescent="0.25">
      <c r="B28" s="26">
        <v>47908</v>
      </c>
      <c r="C28" s="6">
        <v>96.2</v>
      </c>
      <c r="D28" s="7">
        <f t="shared" si="0"/>
        <v>3.7999999999999972</v>
      </c>
      <c r="E28" s="23">
        <v>48017</v>
      </c>
      <c r="F28" s="27">
        <f t="shared" si="1"/>
        <v>91</v>
      </c>
      <c r="G28"/>
      <c r="H28" s="105">
        <v>3.8396597275058286</v>
      </c>
      <c r="I28" s="109">
        <v>3.7927748622193724</v>
      </c>
      <c r="J28" s="110">
        <v>3.7626084750430118</v>
      </c>
      <c r="K28" s="110">
        <v>3.7456289587241653</v>
      </c>
      <c r="L28" s="111">
        <v>3.7387120149163255</v>
      </c>
    </row>
    <row r="29" spans="2:12" ht="15.75" customHeight="1" x14ac:dyDescent="0.25">
      <c r="B29" s="26">
        <v>48000</v>
      </c>
      <c r="C29" s="6">
        <v>96.17</v>
      </c>
      <c r="D29" s="7">
        <f t="shared" si="0"/>
        <v>3.8299999999999983</v>
      </c>
      <c r="E29" s="23">
        <v>48108</v>
      </c>
      <c r="F29" s="27">
        <f t="shared" si="1"/>
        <v>91</v>
      </c>
      <c r="G29"/>
      <c r="H29" s="105">
        <v>3.8749653942439255</v>
      </c>
      <c r="I29" s="109">
        <v>3.8295151986854812</v>
      </c>
      <c r="J29" s="110">
        <v>3.8003775350530491</v>
      </c>
      <c r="K29" s="110">
        <v>3.7840709641468093</v>
      </c>
      <c r="L29" s="111">
        <v>3.7775217967434744</v>
      </c>
    </row>
    <row r="30" spans="2:12" ht="30.75" customHeight="1" x14ac:dyDescent="0.25">
      <c r="B30" s="26">
        <v>48092</v>
      </c>
      <c r="C30" s="6">
        <v>96.135000000000005</v>
      </c>
      <c r="D30" s="7">
        <f t="shared" si="0"/>
        <v>3.8649999999999949</v>
      </c>
      <c r="E30" s="23">
        <v>48199</v>
      </c>
      <c r="F30" s="27">
        <f t="shared" si="1"/>
        <v>91</v>
      </c>
      <c r="G30"/>
      <c r="H30" s="105">
        <v>3.9109893373264648</v>
      </c>
      <c r="I30" s="109">
        <v>3.8668521057783773</v>
      </c>
      <c r="J30" s="110">
        <v>3.8386485901664216</v>
      </c>
      <c r="K30" s="110">
        <v>3.8229457100520636</v>
      </c>
      <c r="L30" s="111">
        <v>3.8167183932106852</v>
      </c>
    </row>
    <row r="31" spans="2:12" ht="15.75" customHeight="1" x14ac:dyDescent="0.25">
      <c r="B31" s="26">
        <v>48183</v>
      </c>
      <c r="C31" s="6">
        <v>96.11</v>
      </c>
      <c r="D31" s="7">
        <f t="shared" si="0"/>
        <v>3.8900000000000006</v>
      </c>
      <c r="E31" s="23">
        <v>48290</v>
      </c>
      <c r="F31" s="27">
        <f t="shared" si="1"/>
        <v>91</v>
      </c>
      <c r="G31"/>
      <c r="H31" s="105">
        <v>3.9472508523432364</v>
      </c>
      <c r="I31" s="109">
        <v>3.9043046466644049</v>
      </c>
      <c r="J31" s="110">
        <v>3.8769367961922936</v>
      </c>
      <c r="K31" s="110">
        <v>3.8617606526564328</v>
      </c>
      <c r="L31" s="111">
        <v>3.8557976333318895</v>
      </c>
    </row>
    <row r="32" spans="2:12" ht="30.75" customHeight="1" x14ac:dyDescent="0.25">
      <c r="B32" s="26">
        <v>48274</v>
      </c>
      <c r="C32" s="6">
        <v>96.084999999999994</v>
      </c>
      <c r="D32" s="7">
        <f t="shared" si="0"/>
        <v>3.9150000000000063</v>
      </c>
      <c r="E32" s="23">
        <v>48381</v>
      </c>
      <c r="F32" s="27">
        <f t="shared" si="1"/>
        <v>91</v>
      </c>
      <c r="G32"/>
      <c r="H32" s="105">
        <v>3.9837738888327103</v>
      </c>
      <c r="I32" s="109">
        <v>3.941910649706311</v>
      </c>
      <c r="J32" s="110">
        <v>3.9152922767536436</v>
      </c>
      <c r="K32" s="110">
        <v>3.9005766542155929</v>
      </c>
      <c r="L32" s="111">
        <v>3.8948296204416102</v>
      </c>
    </row>
    <row r="33" spans="2:12" ht="15.75" customHeight="1" x14ac:dyDescent="0.25">
      <c r="B33" s="26">
        <v>48366</v>
      </c>
      <c r="C33" s="6">
        <v>96.06</v>
      </c>
      <c r="D33" s="7">
        <f t="shared" si="0"/>
        <v>3.9399999999999977</v>
      </c>
      <c r="E33" s="23">
        <v>48472</v>
      </c>
      <c r="F33" s="27">
        <f t="shared" si="1"/>
        <v>91</v>
      </c>
      <c r="G33"/>
      <c r="H33" s="105">
        <v>4.0205800878269446</v>
      </c>
      <c r="I33" s="109">
        <v>3.9797035649838683</v>
      </c>
      <c r="J33" s="110">
        <v>3.9537587894726176</v>
      </c>
      <c r="K33" s="110">
        <v>3.9394463103530475</v>
      </c>
      <c r="L33" s="111">
        <v>3.9338743784532624</v>
      </c>
    </row>
    <row r="34" spans="2:12" ht="30.75" customHeight="1" x14ac:dyDescent="0.25">
      <c r="B34" s="26">
        <v>48458</v>
      </c>
      <c r="C34" s="6">
        <v>96.04</v>
      </c>
      <c r="D34" s="7">
        <f t="shared" si="0"/>
        <v>3.9599999999999937</v>
      </c>
      <c r="E34" s="23">
        <v>48563</v>
      </c>
      <c r="F34" s="27">
        <f t="shared" si="1"/>
        <v>91</v>
      </c>
      <c r="G34"/>
      <c r="H34" s="105">
        <v>4.0574738202642031</v>
      </c>
      <c r="I34" s="109">
        <v>4.017492712035228</v>
      </c>
      <c r="J34" s="110">
        <v>3.9921486083951914</v>
      </c>
      <c r="K34" s="110">
        <v>3.9781828889908324</v>
      </c>
      <c r="L34" s="111">
        <v>3.9727442545132616</v>
      </c>
    </row>
    <row r="35" spans="2:12" ht="15.75" customHeight="1" x14ac:dyDescent="0.25">
      <c r="B35" s="26">
        <v>48549</v>
      </c>
      <c r="C35" s="6">
        <v>96.004999999999995</v>
      </c>
      <c r="D35" s="7">
        <f t="shared" si="0"/>
        <v>3.9950000000000045</v>
      </c>
      <c r="E35" s="23">
        <v>48654</v>
      </c>
      <c r="F35" s="27">
        <f t="shared" si="1"/>
        <v>91</v>
      </c>
      <c r="G35"/>
      <c r="H35" s="105">
        <v>4.095119331212473</v>
      </c>
      <c r="I35" s="109">
        <v>4.0559665184738689</v>
      </c>
      <c r="J35" s="110">
        <v>4.0311747929412141</v>
      </c>
      <c r="K35" s="110">
        <v>4.0175245845297525</v>
      </c>
      <c r="L35" s="111">
        <v>4.012203192564094</v>
      </c>
    </row>
    <row r="36" spans="2:12" ht="30.75" customHeight="1" x14ac:dyDescent="0.25">
      <c r="B36" s="26">
        <v>48639</v>
      </c>
      <c r="C36" s="6">
        <v>96</v>
      </c>
      <c r="D36" s="7">
        <f t="shared" si="0"/>
        <v>4</v>
      </c>
      <c r="E36" s="23">
        <v>48745</v>
      </c>
      <c r="F36" s="27">
        <f t="shared" si="1"/>
        <v>91</v>
      </c>
      <c r="G36"/>
      <c r="H36" s="105">
        <v>4.1322693459582336</v>
      </c>
      <c r="I36" s="109">
        <v>4.0938563045113767</v>
      </c>
      <c r="J36" s="110">
        <v>4.0695427667273663</v>
      </c>
      <c r="K36" s="110">
        <v>4.0561464842020571</v>
      </c>
      <c r="L36" s="111">
        <v>4.0508915088911017</v>
      </c>
    </row>
    <row r="37" spans="2:12" ht="15.75" customHeight="1" x14ac:dyDescent="0.25">
      <c r="B37" s="26">
        <v>48731</v>
      </c>
      <c r="C37" s="6">
        <v>96</v>
      </c>
      <c r="D37" s="7">
        <f t="shared" si="0"/>
        <v>4</v>
      </c>
      <c r="E37" s="23">
        <v>48843</v>
      </c>
      <c r="F37" s="27">
        <f t="shared" si="1"/>
        <v>98</v>
      </c>
      <c r="G37"/>
      <c r="H37" s="105">
        <v>4.171507134434953</v>
      </c>
      <c r="I37" s="109">
        <v>4.1337973104762318</v>
      </c>
      <c r="J37" s="110">
        <v>4.1099198177912379</v>
      </c>
      <c r="K37" s="110">
        <v>4.0967307907075332</v>
      </c>
      <c r="L37" s="111">
        <v>4.0914919366696889</v>
      </c>
    </row>
    <row r="38" spans="2:12" ht="30.75" customHeight="1" x14ac:dyDescent="0.25">
      <c r="B38" s="26">
        <v>48823</v>
      </c>
      <c r="C38" s="6">
        <v>96.01</v>
      </c>
      <c r="D38" s="7">
        <f t="shared" si="0"/>
        <v>3.9899999999999949</v>
      </c>
      <c r="E38" s="23">
        <v>48934</v>
      </c>
      <c r="F38" s="27">
        <f t="shared" si="1"/>
        <v>91</v>
      </c>
      <c r="G38"/>
      <c r="H38" s="105">
        <v>4.2070339912636534</v>
      </c>
      <c r="I38" s="109">
        <v>4.1698952721454594</v>
      </c>
      <c r="J38" s="110">
        <v>4.1463530443903638</v>
      </c>
      <c r="K38" s="110">
        <v>4.1332975209685561</v>
      </c>
      <c r="L38" s="111">
        <v>4.1280237195920062</v>
      </c>
    </row>
    <row r="39" spans="2:12" ht="15.75" customHeight="1" x14ac:dyDescent="0.25">
      <c r="B39" s="26">
        <v>48914</v>
      </c>
      <c r="C39" s="6">
        <v>95.965000000000003</v>
      </c>
      <c r="D39" s="7">
        <f t="shared" si="0"/>
        <v>4.0349999999999966</v>
      </c>
      <c r="E39" s="23">
        <v>49018</v>
      </c>
      <c r="F39" s="27">
        <f t="shared" si="1"/>
        <v>84</v>
      </c>
      <c r="G39"/>
      <c r="H39" s="105">
        <v>4.2410736579679424</v>
      </c>
      <c r="I39" s="109">
        <v>4.2044373236415282</v>
      </c>
      <c r="J39" s="110">
        <v>4.1811940013273921</v>
      </c>
      <c r="K39" s="110">
        <v>4.1682639554844902</v>
      </c>
      <c r="L39" s="111">
        <v>4.1629715659937867</v>
      </c>
    </row>
    <row r="40" spans="2:12" ht="30" customHeight="1" x14ac:dyDescent="0.25">
      <c r="B40" s="26">
        <v>49004</v>
      </c>
      <c r="C40" s="6">
        <v>95.99</v>
      </c>
      <c r="D40" s="7">
        <f t="shared" si="0"/>
        <v>4.0100000000000051</v>
      </c>
      <c r="E40" s="23">
        <v>49116</v>
      </c>
      <c r="F40" s="27">
        <f t="shared" si="1"/>
        <v>98</v>
      </c>
      <c r="G40"/>
      <c r="H40" s="105">
        <v>4.2791076133987662</v>
      </c>
      <c r="I40" s="109">
        <v>4.2429709165894174</v>
      </c>
      <c r="J40" s="110">
        <v>4.2199991964817265</v>
      </c>
      <c r="K40" s="110">
        <v>4.2071463651521359</v>
      </c>
      <c r="L40" s="111">
        <v>4.2017695468154797</v>
      </c>
    </row>
    <row r="41" spans="2:12" ht="15.75" customHeight="1" thickBot="1" x14ac:dyDescent="0.3">
      <c r="B41" s="28">
        <v>12571</v>
      </c>
      <c r="C41" s="29">
        <v>95.99</v>
      </c>
      <c r="D41" s="30">
        <f t="shared" si="0"/>
        <v>4.0100000000000051</v>
      </c>
      <c r="E41" s="31">
        <v>49207</v>
      </c>
      <c r="F41" s="32">
        <f t="shared" si="1"/>
        <v>91</v>
      </c>
      <c r="G41"/>
      <c r="H41" s="112">
        <v>4.314071815248079</v>
      </c>
      <c r="I41" s="113">
        <v>4.2783458492953299</v>
      </c>
      <c r="J41" s="114">
        <v>4.2555842204703263</v>
      </c>
      <c r="K41" s="114">
        <v>4.2427707105184522</v>
      </c>
      <c r="L41" s="115">
        <v>4.2372914442940575</v>
      </c>
    </row>
    <row r="42" spans="2:12" ht="45.75" customHeight="1" x14ac:dyDescent="0.25">
      <c r="B42" s="2"/>
      <c r="E42" s="8"/>
      <c r="I42" s="5"/>
    </row>
    <row r="43" spans="2:12" ht="15.75" customHeight="1" x14ac:dyDescent="0.25">
      <c r="B43" s="2"/>
      <c r="I43" s="5"/>
    </row>
    <row r="44" spans="2:12" ht="30" customHeight="1" x14ac:dyDescent="0.25">
      <c r="I44" s="5"/>
    </row>
    <row r="45" spans="2:12" ht="15.75" customHeight="1" x14ac:dyDescent="0.25">
      <c r="I45" s="5"/>
    </row>
    <row r="46" spans="2:12" ht="30" customHeight="1" x14ac:dyDescent="0.25">
      <c r="I46" s="5"/>
    </row>
    <row r="47" spans="2:12" ht="15.75" customHeight="1" x14ac:dyDescent="0.25">
      <c r="I47" s="5"/>
    </row>
    <row r="48" spans="2:12" ht="30" customHeight="1" x14ac:dyDescent="0.25">
      <c r="I48" s="5"/>
    </row>
    <row r="49" spans="2:9" ht="15.75" customHeight="1" x14ac:dyDescent="0.25">
      <c r="I49" s="5"/>
    </row>
    <row r="50" spans="2:9" ht="30" customHeight="1" x14ac:dyDescent="0.25">
      <c r="I50" s="5"/>
    </row>
    <row r="51" spans="2:9" ht="15.75" customHeight="1" x14ac:dyDescent="0.25">
      <c r="I51" s="5"/>
    </row>
    <row r="52" spans="2:9" x14ac:dyDescent="0.25">
      <c r="I52" s="5"/>
    </row>
    <row r="53" spans="2:9" ht="15.75" customHeight="1" x14ac:dyDescent="0.25">
      <c r="I53" s="5"/>
    </row>
    <row r="54" spans="2:9" ht="30" customHeight="1" x14ac:dyDescent="0.25">
      <c r="I54" s="5"/>
    </row>
    <row r="55" spans="2:9" ht="15.75" customHeight="1" x14ac:dyDescent="0.25"/>
    <row r="56" spans="2:9" x14ac:dyDescent="0.25">
      <c r="B56" s="13" t="s">
        <v>13</v>
      </c>
    </row>
    <row r="57" spans="2:9" ht="15.75" customHeight="1" x14ac:dyDescent="0.25">
      <c r="B57" s="3" t="s">
        <v>14</v>
      </c>
    </row>
    <row r="58" spans="2:9" x14ac:dyDescent="0.25">
      <c r="B58" s="3" t="s">
        <v>15</v>
      </c>
    </row>
    <row r="59" spans="2:9" ht="15.75" customHeight="1" x14ac:dyDescent="0.25">
      <c r="B59" s="3" t="s">
        <v>121</v>
      </c>
    </row>
    <row r="61" spans="2:9" ht="15.75" customHeight="1" x14ac:dyDescent="0.25">
      <c r="B61" s="13" t="s">
        <v>16</v>
      </c>
    </row>
    <row r="62" spans="2:9" x14ac:dyDescent="0.25">
      <c r="B62" s="3" t="s">
        <v>117</v>
      </c>
    </row>
    <row r="63" spans="2:9" ht="15.75" customHeight="1" x14ac:dyDescent="0.25">
      <c r="B63" s="3" t="s">
        <v>118</v>
      </c>
    </row>
    <row r="64" spans="2:9" ht="30.75" customHeight="1" x14ac:dyDescent="0.25">
      <c r="B64" s="13" t="s">
        <v>17</v>
      </c>
    </row>
    <row r="65" spans="2:12" ht="15.75" customHeight="1" x14ac:dyDescent="0.25">
      <c r="B65" s="3" t="s">
        <v>115</v>
      </c>
    </row>
    <row r="66" spans="2:12" x14ac:dyDescent="0.25">
      <c r="B66" s="3" t="s">
        <v>119</v>
      </c>
    </row>
    <row r="67" spans="2:12" ht="15.75" customHeight="1" thickBot="1" x14ac:dyDescent="0.3">
      <c r="B67" s="3" t="s">
        <v>116</v>
      </c>
    </row>
    <row r="68" spans="2:12" ht="30.75" customHeight="1" x14ac:dyDescent="0.25">
      <c r="G68" s="99" t="s">
        <v>23</v>
      </c>
      <c r="H68" s="100"/>
      <c r="I68" s="100"/>
      <c r="J68" s="100"/>
      <c r="K68" s="100"/>
      <c r="L68" s="101"/>
    </row>
    <row r="69" spans="2:12" ht="15.75" customHeight="1" thickBot="1" x14ac:dyDescent="0.3">
      <c r="B69" s="14" t="s">
        <v>18</v>
      </c>
      <c r="G69" s="38"/>
      <c r="H69" s="17" t="s">
        <v>59</v>
      </c>
      <c r="I69" s="18">
        <v>1</v>
      </c>
      <c r="J69" s="18">
        <v>2</v>
      </c>
      <c r="K69" s="18">
        <v>3</v>
      </c>
      <c r="L69" s="39">
        <v>4</v>
      </c>
    </row>
    <row r="70" spans="2:12" ht="55.5" customHeight="1" x14ac:dyDescent="0.25">
      <c r="B70" s="94" t="s">
        <v>21</v>
      </c>
      <c r="C70" s="95" t="s">
        <v>20</v>
      </c>
      <c r="D70" s="95" t="s">
        <v>19</v>
      </c>
      <c r="E70" s="96" t="s">
        <v>22</v>
      </c>
      <c r="G70" s="40" t="s">
        <v>60</v>
      </c>
      <c r="H70" s="20" t="s">
        <v>24</v>
      </c>
      <c r="I70" s="21" t="s">
        <v>25</v>
      </c>
      <c r="J70" s="22" t="s">
        <v>26</v>
      </c>
      <c r="K70" s="21" t="s">
        <v>27</v>
      </c>
      <c r="L70" s="41" t="s">
        <v>28</v>
      </c>
    </row>
    <row r="71" spans="2:12" ht="15.75" customHeight="1" x14ac:dyDescent="0.25">
      <c r="B71" s="33">
        <v>45826</v>
      </c>
      <c r="C71" s="15">
        <f>E5</f>
        <v>45917</v>
      </c>
      <c r="D71" s="16">
        <f>_xlfn.DAYS(C71,$B$71)</f>
        <v>91</v>
      </c>
      <c r="E71" s="24">
        <f>H5</f>
        <v>4.0300000000000011</v>
      </c>
      <c r="G71" s="42">
        <v>1</v>
      </c>
      <c r="H71" s="19" t="s">
        <v>29</v>
      </c>
      <c r="I71" s="110">
        <v>3.6849999999999725</v>
      </c>
      <c r="J71" s="110">
        <v>3.5759982739583056</v>
      </c>
      <c r="K71" s="110">
        <v>3.4920077886975101</v>
      </c>
      <c r="L71" s="111">
        <v>3.43249208083158</v>
      </c>
    </row>
    <row r="72" spans="2:12" x14ac:dyDescent="0.25">
      <c r="B72" s="34"/>
      <c r="C72" s="15">
        <f t="shared" ref="C72:C107" si="2">E6</f>
        <v>46008</v>
      </c>
      <c r="D72" s="16">
        <f t="shared" ref="D72:D107" si="3">_xlfn.DAYS(C72,$B$71)</f>
        <v>182</v>
      </c>
      <c r="E72" s="24">
        <f t="shared" ref="E72:E107" si="4">H6</f>
        <v>3.8762694451388753</v>
      </c>
      <c r="G72" s="42">
        <v>2</v>
      </c>
      <c r="H72" s="19" t="s">
        <v>30</v>
      </c>
      <c r="I72" s="110">
        <v>3.4349999999999734</v>
      </c>
      <c r="J72" s="110">
        <v>3.3641748614583036</v>
      </c>
      <c r="K72" s="110">
        <v>3.3174214543478455</v>
      </c>
      <c r="L72" s="111">
        <v>3.291532977835951</v>
      </c>
    </row>
    <row r="73" spans="2:12" ht="15.75" customHeight="1" x14ac:dyDescent="0.25">
      <c r="B73" s="34"/>
      <c r="C73" s="15">
        <f t="shared" si="2"/>
        <v>46099</v>
      </c>
      <c r="D73" s="16">
        <f t="shared" si="3"/>
        <v>273</v>
      </c>
      <c r="E73" s="24">
        <f t="shared" si="4"/>
        <v>3.751617846472366</v>
      </c>
      <c r="G73" s="42">
        <v>3</v>
      </c>
      <c r="H73" s="19" t="s">
        <v>31</v>
      </c>
      <c r="I73" s="110">
        <v>3.2649999999999673</v>
      </c>
      <c r="J73" s="110">
        <v>3.2305813131944237</v>
      </c>
      <c r="K73" s="110">
        <v>3.215788216017283</v>
      </c>
      <c r="L73" s="111">
        <v>3.215984481280572</v>
      </c>
    </row>
    <row r="74" spans="2:12" x14ac:dyDescent="0.25">
      <c r="B74" s="34"/>
      <c r="C74" s="15">
        <f t="shared" si="2"/>
        <v>46190</v>
      </c>
      <c r="D74" s="16">
        <f t="shared" si="3"/>
        <v>364</v>
      </c>
      <c r="E74" s="24">
        <f t="shared" si="4"/>
        <v>3.6531855085304041</v>
      </c>
      <c r="G74" s="42">
        <v>4</v>
      </c>
      <c r="H74" s="19" t="s">
        <v>32</v>
      </c>
      <c r="I74" s="110">
        <v>3.1699999999999915</v>
      </c>
      <c r="J74" s="110">
        <v>3.1650604645833122</v>
      </c>
      <c r="K74" s="110">
        <v>3.1734548352249989</v>
      </c>
      <c r="L74" s="111">
        <v>3.1916629288420291</v>
      </c>
    </row>
    <row r="75" spans="2:12" ht="15.75" customHeight="1" x14ac:dyDescent="0.25">
      <c r="B75" s="34"/>
      <c r="C75" s="15">
        <f t="shared" si="2"/>
        <v>46281</v>
      </c>
      <c r="D75" s="16">
        <f t="shared" si="3"/>
        <v>455</v>
      </c>
      <c r="E75" s="24">
        <f t="shared" si="4"/>
        <v>3.5799669495720057</v>
      </c>
      <c r="G75" s="42">
        <v>5</v>
      </c>
      <c r="H75" s="19" t="s">
        <v>33</v>
      </c>
      <c r="I75" s="110">
        <v>3.1349999999999656</v>
      </c>
      <c r="J75" s="110">
        <v>3.1499415958333348</v>
      </c>
      <c r="K75" s="110">
        <v>3.1734548352250034</v>
      </c>
      <c r="L75" s="111">
        <v>3.2019035825003637</v>
      </c>
    </row>
    <row r="76" spans="2:12" x14ac:dyDescent="0.25">
      <c r="B76" s="34"/>
      <c r="C76" s="15">
        <f t="shared" si="2"/>
        <v>46372</v>
      </c>
      <c r="D76" s="16">
        <f t="shared" si="3"/>
        <v>546</v>
      </c>
      <c r="E76" s="24">
        <f t="shared" si="4"/>
        <v>3.5294472466620506</v>
      </c>
      <c r="G76" s="42">
        <v>6</v>
      </c>
      <c r="H76" s="19" t="s">
        <v>34</v>
      </c>
      <c r="I76" s="110">
        <v>3.140000000000037</v>
      </c>
      <c r="J76" s="110">
        <v>3.1675804972222434</v>
      </c>
      <c r="K76" s="110">
        <v>3.1988551822045186</v>
      </c>
      <c r="L76" s="111">
        <v>3.2313509995729128</v>
      </c>
    </row>
    <row r="77" spans="2:12" ht="15.75" customHeight="1" x14ac:dyDescent="0.25">
      <c r="B77" s="34"/>
      <c r="C77" s="15">
        <f t="shared" si="2"/>
        <v>46463</v>
      </c>
      <c r="D77" s="16">
        <f t="shared" si="3"/>
        <v>637</v>
      </c>
      <c r="E77" s="24">
        <f t="shared" si="4"/>
        <v>3.4978239318117921</v>
      </c>
      <c r="G77" s="42">
        <v>7</v>
      </c>
      <c r="H77" s="19" t="s">
        <v>35</v>
      </c>
      <c r="I77" s="110">
        <v>3.1700000000000053</v>
      </c>
      <c r="J77" s="110">
        <v>3.2028609541666593</v>
      </c>
      <c r="K77" s="110">
        <v>3.2361155643924966</v>
      </c>
      <c r="L77" s="111">
        <v>3.2697712699365153</v>
      </c>
    </row>
    <row r="78" spans="2:12" x14ac:dyDescent="0.25">
      <c r="B78" s="34"/>
      <c r="C78" s="15">
        <f t="shared" si="2"/>
        <v>46554</v>
      </c>
      <c r="D78" s="16">
        <f t="shared" si="3"/>
        <v>728</v>
      </c>
      <c r="E78" s="24">
        <f t="shared" si="4"/>
        <v>3.4813706656383339</v>
      </c>
      <c r="G78" s="42">
        <v>8</v>
      </c>
      <c r="H78" s="19" t="s">
        <v>36</v>
      </c>
      <c r="I78" s="110">
        <v>3.2099999999999804</v>
      </c>
      <c r="J78" s="110">
        <v>3.2431855208333307</v>
      </c>
      <c r="K78" s="110">
        <v>3.2767714085755797</v>
      </c>
      <c r="L78" s="111">
        <v>3.3126894021580875</v>
      </c>
    </row>
    <row r="79" spans="2:12" ht="15.75" customHeight="1" x14ac:dyDescent="0.25">
      <c r="B79" s="34"/>
      <c r="C79" s="15">
        <f t="shared" si="2"/>
        <v>46645</v>
      </c>
      <c r="D79" s="16">
        <f t="shared" si="3"/>
        <v>819</v>
      </c>
      <c r="E79" s="24">
        <f t="shared" si="4"/>
        <v>3.4763280777313463</v>
      </c>
      <c r="G79" s="42">
        <v>9</v>
      </c>
      <c r="H79" s="19" t="s">
        <v>37</v>
      </c>
      <c r="I79" s="110">
        <v>3.2500000000000142</v>
      </c>
      <c r="J79" s="110">
        <v>3.2835141319444268</v>
      </c>
      <c r="K79" s="110">
        <v>3.3191314719078338</v>
      </c>
      <c r="L79" s="111">
        <v>3.352947820485789</v>
      </c>
    </row>
    <row r="80" spans="2:12" x14ac:dyDescent="0.25">
      <c r="B80" s="34"/>
      <c r="C80" s="15">
        <f t="shared" si="2"/>
        <v>46736</v>
      </c>
      <c r="D80" s="16">
        <f t="shared" si="3"/>
        <v>910</v>
      </c>
      <c r="E80" s="24">
        <f t="shared" si="4"/>
        <v>3.4793983706829392</v>
      </c>
      <c r="G80" s="42">
        <v>10</v>
      </c>
      <c r="H80" s="19" t="s">
        <v>38</v>
      </c>
      <c r="I80" s="110">
        <v>3.2899999999999521</v>
      </c>
      <c r="J80" s="110">
        <v>3.325100372222209</v>
      </c>
      <c r="K80" s="110">
        <v>3.3588122862090453</v>
      </c>
      <c r="L80" s="111">
        <v>3.3932183510284952</v>
      </c>
    </row>
    <row r="81" spans="2:15" x14ac:dyDescent="0.25">
      <c r="B81" s="34"/>
      <c r="C81" s="15">
        <f t="shared" si="2"/>
        <v>46827</v>
      </c>
      <c r="D81" s="16">
        <f t="shared" si="3"/>
        <v>1001</v>
      </c>
      <c r="E81" s="24">
        <f t="shared" si="4"/>
        <v>3.4884858187571819</v>
      </c>
      <c r="G81" s="42">
        <v>11</v>
      </c>
      <c r="H81" s="19" t="s">
        <v>39</v>
      </c>
      <c r="I81" s="110">
        <v>3.3300000000000192</v>
      </c>
      <c r="J81" s="110">
        <v>3.3639680611111258</v>
      </c>
      <c r="K81" s="110">
        <v>3.398501058669575</v>
      </c>
      <c r="L81" s="111">
        <v>3.4335009962153782</v>
      </c>
    </row>
    <row r="82" spans="2:15" x14ac:dyDescent="0.25">
      <c r="B82" s="34"/>
      <c r="C82" s="15">
        <f t="shared" si="2"/>
        <v>46925</v>
      </c>
      <c r="D82" s="16">
        <f t="shared" si="3"/>
        <v>1099</v>
      </c>
      <c r="E82" s="24">
        <f t="shared" si="4"/>
        <v>3.503156552908937</v>
      </c>
      <c r="G82" s="42">
        <v>12</v>
      </c>
      <c r="H82" s="19" t="s">
        <v>40</v>
      </c>
      <c r="I82" s="110">
        <v>3.3700000000000099</v>
      </c>
      <c r="J82" s="110">
        <v>3.4045242319444515</v>
      </c>
      <c r="K82" s="110">
        <v>3.4394763469003422</v>
      </c>
      <c r="L82" s="111">
        <v>3.4735818087434667</v>
      </c>
    </row>
    <row r="83" spans="2:15" x14ac:dyDescent="0.25">
      <c r="B83" s="34"/>
      <c r="C83" s="15">
        <f t="shared" si="2"/>
        <v>47016</v>
      </c>
      <c r="D83" s="16">
        <f t="shared" si="3"/>
        <v>1190</v>
      </c>
      <c r="E83" s="24">
        <f t="shared" si="4"/>
        <v>3.5205339838552239</v>
      </c>
      <c r="G83" s="42">
        <v>13</v>
      </c>
      <c r="H83" s="19" t="s">
        <v>41</v>
      </c>
      <c r="I83" s="110">
        <v>3.4100000000000046</v>
      </c>
      <c r="J83" s="110">
        <v>3.4448690208333153</v>
      </c>
      <c r="K83" s="110">
        <v>3.4784772830911312</v>
      </c>
      <c r="L83" s="111">
        <v>3.513353973786749</v>
      </c>
    </row>
    <row r="84" spans="2:15" x14ac:dyDescent="0.25">
      <c r="B84" s="34"/>
      <c r="C84" s="15">
        <f t="shared" si="2"/>
        <v>47107</v>
      </c>
      <c r="D84" s="16">
        <f t="shared" si="3"/>
        <v>1281</v>
      </c>
      <c r="E84" s="24">
        <f t="shared" si="4"/>
        <v>3.5408721393873845</v>
      </c>
      <c r="G84" s="42">
        <v>14</v>
      </c>
      <c r="H84" s="19" t="s">
        <v>42</v>
      </c>
      <c r="I84" s="110">
        <v>3.4499999999999593</v>
      </c>
      <c r="J84" s="110">
        <v>3.4826960520833068</v>
      </c>
      <c r="K84" s="110">
        <v>3.5174855500204729</v>
      </c>
      <c r="L84" s="111">
        <v>3.554420944403589</v>
      </c>
    </row>
    <row r="85" spans="2:15" x14ac:dyDescent="0.25">
      <c r="B85" s="34"/>
      <c r="C85" s="15">
        <f t="shared" si="2"/>
        <v>47198</v>
      </c>
      <c r="D85" s="16">
        <f t="shared" si="3"/>
        <v>1372</v>
      </c>
      <c r="E85" s="24">
        <f t="shared" si="4"/>
        <v>3.5636761408981679</v>
      </c>
      <c r="G85" s="42">
        <v>15</v>
      </c>
      <c r="H85" s="19" t="s">
        <v>43</v>
      </c>
      <c r="I85" s="110">
        <v>3.4849999999999874</v>
      </c>
      <c r="J85" s="110">
        <v>3.5205264010416459</v>
      </c>
      <c r="K85" s="110">
        <v>3.5581974786927</v>
      </c>
      <c r="L85" s="111">
        <v>3.5967839930524064</v>
      </c>
    </row>
    <row r="86" spans="2:15" x14ac:dyDescent="0.25">
      <c r="B86" s="34"/>
      <c r="C86" s="15">
        <f t="shared" si="2"/>
        <v>47289</v>
      </c>
      <c r="D86" s="16">
        <f t="shared" si="3"/>
        <v>1463</v>
      </c>
      <c r="E86" s="24">
        <f t="shared" si="4"/>
        <v>3.5882232151826741</v>
      </c>
      <c r="G86" s="42">
        <v>16</v>
      </c>
      <c r="H86" s="19" t="s">
        <v>44</v>
      </c>
      <c r="I86" s="110">
        <v>3.5249999999999719</v>
      </c>
      <c r="J86" s="110">
        <v>3.563405093749989</v>
      </c>
      <c r="K86" s="110">
        <v>3.6023114616975063</v>
      </c>
      <c r="L86" s="111">
        <v>3.6407584142609717</v>
      </c>
    </row>
    <row r="87" spans="2:15" x14ac:dyDescent="0.25">
      <c r="B87" s="34"/>
      <c r="C87" s="15">
        <f t="shared" si="2"/>
        <v>47380</v>
      </c>
      <c r="D87" s="16">
        <f t="shared" si="3"/>
        <v>1554</v>
      </c>
      <c r="E87" s="24">
        <f t="shared" si="4"/>
        <v>3.6146212515166565</v>
      </c>
      <c r="G87" s="42">
        <v>17</v>
      </c>
      <c r="H87" s="19" t="s">
        <v>45</v>
      </c>
      <c r="I87" s="110">
        <v>3.5700000000000074</v>
      </c>
      <c r="J87" s="110">
        <v>3.6088111812500108</v>
      </c>
      <c r="K87" s="110">
        <v>3.6467100212744219</v>
      </c>
      <c r="L87" s="111">
        <v>3.6840072593304707</v>
      </c>
    </row>
    <row r="88" spans="2:15" x14ac:dyDescent="0.25">
      <c r="B88" s="34"/>
      <c r="C88" s="15">
        <f t="shared" si="2"/>
        <v>47471</v>
      </c>
      <c r="D88" s="16">
        <f t="shared" si="3"/>
        <v>1645</v>
      </c>
      <c r="E88" s="24">
        <f t="shared" si="4"/>
        <v>3.642967334213798</v>
      </c>
      <c r="G88" s="42">
        <v>18</v>
      </c>
      <c r="H88" s="19" t="s">
        <v>46</v>
      </c>
      <c r="I88" s="110">
        <v>3.615000000000014</v>
      </c>
      <c r="J88" s="110">
        <v>3.6519000866575557</v>
      </c>
      <c r="K88" s="110">
        <v>3.6887220366614528</v>
      </c>
      <c r="L88" s="111">
        <v>3.7264111376925619</v>
      </c>
    </row>
    <row r="89" spans="2:15" x14ac:dyDescent="0.25">
      <c r="B89" s="34"/>
      <c r="C89" s="15">
        <f t="shared" si="2"/>
        <v>47562</v>
      </c>
      <c r="D89" s="16">
        <f t="shared" si="3"/>
        <v>1736</v>
      </c>
      <c r="E89" s="24">
        <f t="shared" si="4"/>
        <v>3.6730454416988301</v>
      </c>
      <c r="G89" s="42">
        <v>19</v>
      </c>
      <c r="H89" s="19" t="s">
        <v>47</v>
      </c>
      <c r="I89" s="110">
        <v>3.6549999999999798</v>
      </c>
      <c r="J89" s="110">
        <v>3.691847262362641</v>
      </c>
      <c r="K89" s="110">
        <v>3.7294686102189472</v>
      </c>
      <c r="L89" s="111">
        <v>3.7662570575831138</v>
      </c>
    </row>
    <row r="90" spans="2:15" x14ac:dyDescent="0.25">
      <c r="B90" s="34"/>
      <c r="C90" s="15">
        <f t="shared" si="2"/>
        <v>47654</v>
      </c>
      <c r="D90" s="16">
        <f t="shared" si="3"/>
        <v>1828</v>
      </c>
      <c r="E90" s="24">
        <f t="shared" si="4"/>
        <v>3.7047188564332867</v>
      </c>
      <c r="G90" s="42">
        <v>20</v>
      </c>
      <c r="H90" s="19" t="s">
        <v>48</v>
      </c>
      <c r="I90" s="110">
        <v>3.6950000000000274</v>
      </c>
      <c r="J90" s="110">
        <v>3.7324568380524994</v>
      </c>
      <c r="K90" s="110">
        <v>3.7686864955938426</v>
      </c>
      <c r="L90" s="111">
        <v>3.8036617517434119</v>
      </c>
    </row>
    <row r="91" spans="2:15" x14ac:dyDescent="0.25">
      <c r="B91" s="34"/>
      <c r="C91" s="15">
        <f t="shared" si="2"/>
        <v>47744</v>
      </c>
      <c r="D91" s="16">
        <f t="shared" si="3"/>
        <v>1918</v>
      </c>
      <c r="E91" s="24">
        <f t="shared" si="4"/>
        <v>3.73687930546278</v>
      </c>
      <c r="G91" s="42">
        <v>21</v>
      </c>
      <c r="H91" s="19" t="s">
        <v>49</v>
      </c>
      <c r="I91" s="110">
        <v>3.7349999999999985</v>
      </c>
      <c r="J91" s="110">
        <v>3.7702967562499801</v>
      </c>
      <c r="K91" s="110">
        <v>3.8043417008020497</v>
      </c>
      <c r="L91" s="111">
        <v>3.8383797592052944</v>
      </c>
    </row>
    <row r="92" spans="2:15" x14ac:dyDescent="0.25">
      <c r="B92" s="34"/>
      <c r="C92" s="15">
        <f t="shared" si="2"/>
        <v>47835</v>
      </c>
      <c r="D92" s="16">
        <f t="shared" si="3"/>
        <v>2009</v>
      </c>
      <c r="E92" s="24">
        <f t="shared" si="4"/>
        <v>3.7704769063216084</v>
      </c>
      <c r="G92" s="42">
        <v>22</v>
      </c>
      <c r="H92" s="19" t="s">
        <v>50</v>
      </c>
      <c r="I92" s="110">
        <v>3.7699999999999614</v>
      </c>
      <c r="J92" s="110">
        <v>3.8031064722222077</v>
      </c>
      <c r="K92" s="110">
        <v>3.8366172166437549</v>
      </c>
      <c r="L92" s="111">
        <v>3.8718253254901329</v>
      </c>
      <c r="N92" s="98"/>
      <c r="O92" s="98"/>
    </row>
    <row r="93" spans="2:15" x14ac:dyDescent="0.25">
      <c r="B93" s="34"/>
      <c r="C93" s="15">
        <f t="shared" si="2"/>
        <v>47926</v>
      </c>
      <c r="D93" s="16">
        <f t="shared" si="3"/>
        <v>2100</v>
      </c>
      <c r="E93" s="24">
        <f t="shared" si="4"/>
        <v>3.804830802049175</v>
      </c>
      <c r="G93" s="42">
        <v>23</v>
      </c>
      <c r="H93" s="19" t="s">
        <v>51</v>
      </c>
      <c r="I93" s="110">
        <v>3.8000000000000096</v>
      </c>
      <c r="J93" s="110">
        <v>3.8333946388888851</v>
      </c>
      <c r="K93" s="110">
        <v>3.8688975813965869</v>
      </c>
      <c r="L93" s="111">
        <v>3.9027054996898967</v>
      </c>
      <c r="N93" s="98"/>
      <c r="O93" s="98"/>
    </row>
    <row r="94" spans="2:15" x14ac:dyDescent="0.25">
      <c r="B94" s="34"/>
      <c r="C94" s="15">
        <f t="shared" si="2"/>
        <v>48017</v>
      </c>
      <c r="D94" s="16">
        <f t="shared" si="3"/>
        <v>2191</v>
      </c>
      <c r="E94" s="24">
        <f t="shared" si="4"/>
        <v>3.8396597275058286</v>
      </c>
      <c r="G94" s="42">
        <v>24</v>
      </c>
      <c r="H94" s="19" t="s">
        <v>52</v>
      </c>
      <c r="I94" s="110">
        <v>3.8299999999999832</v>
      </c>
      <c r="J94" s="110">
        <v>3.8662092840277418</v>
      </c>
      <c r="K94" s="110">
        <v>3.8994839564713093</v>
      </c>
      <c r="L94" s="111">
        <v>3.932305668431646</v>
      </c>
      <c r="O94" s="98"/>
    </row>
    <row r="95" spans="2:15" x14ac:dyDescent="0.25">
      <c r="B95" s="34"/>
      <c r="C95" s="15">
        <f t="shared" si="2"/>
        <v>48108</v>
      </c>
      <c r="D95" s="16">
        <f t="shared" si="3"/>
        <v>2282</v>
      </c>
      <c r="E95" s="24">
        <f t="shared" si="4"/>
        <v>3.8749653942439255</v>
      </c>
      <c r="G95" s="42">
        <v>25</v>
      </c>
      <c r="H95" s="19" t="s">
        <v>53</v>
      </c>
      <c r="I95" s="110">
        <v>3.864999999999946</v>
      </c>
      <c r="J95" s="110">
        <v>3.8965023798610567</v>
      </c>
      <c r="K95" s="110">
        <v>3.9283754276918268</v>
      </c>
      <c r="L95" s="111">
        <v>3.9606248983906265</v>
      </c>
      <c r="O95" s="98"/>
    </row>
    <row r="96" spans="2:15" x14ac:dyDescent="0.25">
      <c r="B96" s="34"/>
      <c r="C96" s="15">
        <f t="shared" si="2"/>
        <v>48199</v>
      </c>
      <c r="D96" s="16">
        <f t="shared" si="3"/>
        <v>2373</v>
      </c>
      <c r="E96" s="24">
        <f t="shared" si="4"/>
        <v>3.9109893373264648</v>
      </c>
      <c r="G96" s="42">
        <v>26</v>
      </c>
      <c r="H96" s="19" t="s">
        <v>54</v>
      </c>
      <c r="I96" s="110">
        <v>3.8899999999999455</v>
      </c>
      <c r="J96" s="110">
        <v>3.9217482062499567</v>
      </c>
      <c r="K96" s="110">
        <v>3.9538710930901262</v>
      </c>
      <c r="L96" s="111">
        <v>3.9850870070489806</v>
      </c>
      <c r="O96" s="98"/>
    </row>
    <row r="97" spans="2:15" x14ac:dyDescent="0.25">
      <c r="B97" s="34"/>
      <c r="C97" s="15">
        <f t="shared" si="2"/>
        <v>48290</v>
      </c>
      <c r="D97" s="16">
        <f t="shared" si="3"/>
        <v>2464</v>
      </c>
      <c r="E97" s="24">
        <f t="shared" si="4"/>
        <v>3.9472508523432364</v>
      </c>
      <c r="G97" s="42">
        <v>27</v>
      </c>
      <c r="H97" s="19" t="s">
        <v>55</v>
      </c>
      <c r="I97" s="116">
        <v>3.9149999999999685</v>
      </c>
      <c r="J97" s="116">
        <v>3.9469956124999714</v>
      </c>
      <c r="K97" s="116">
        <v>3.9776700257207454</v>
      </c>
      <c r="L97" s="117">
        <v>4.0121288119884877</v>
      </c>
      <c r="O97" s="98"/>
    </row>
    <row r="98" spans="2:15" x14ac:dyDescent="0.25">
      <c r="B98" s="34"/>
      <c r="C98" s="15">
        <f t="shared" si="2"/>
        <v>48381</v>
      </c>
      <c r="D98" s="16">
        <f t="shared" si="3"/>
        <v>2555</v>
      </c>
      <c r="E98" s="24">
        <f t="shared" si="4"/>
        <v>3.9837738888327103</v>
      </c>
      <c r="G98" s="42">
        <v>28</v>
      </c>
      <c r="H98" s="19" t="s">
        <v>56</v>
      </c>
      <c r="I98" s="116">
        <v>3.9399999999999742</v>
      </c>
      <c r="J98" s="116">
        <v>3.9697197000000095</v>
      </c>
      <c r="K98" s="116">
        <v>4.0048718694136429</v>
      </c>
      <c r="L98" s="117">
        <v>4.034024180403291</v>
      </c>
    </row>
    <row r="99" spans="2:15" x14ac:dyDescent="0.25">
      <c r="B99" s="34"/>
      <c r="C99" s="15">
        <f t="shared" si="2"/>
        <v>48472</v>
      </c>
      <c r="D99" s="16">
        <f t="shared" si="3"/>
        <v>2646</v>
      </c>
      <c r="E99" s="24">
        <f t="shared" si="4"/>
        <v>4.0205800878269446</v>
      </c>
      <c r="G99" s="42">
        <v>29</v>
      </c>
      <c r="H99" s="19" t="s">
        <v>57</v>
      </c>
      <c r="I99" s="116">
        <v>3.9600000000000448</v>
      </c>
      <c r="J99" s="116">
        <v>3.997494975000019</v>
      </c>
      <c r="K99" s="116">
        <v>4.0252760605722422</v>
      </c>
      <c r="L99" s="117">
        <v>4.0508522062146017</v>
      </c>
    </row>
    <row r="100" spans="2:15" ht="15.75" thickBot="1" x14ac:dyDescent="0.3">
      <c r="B100" s="34"/>
      <c r="C100" s="15">
        <f t="shared" si="2"/>
        <v>48563</v>
      </c>
      <c r="D100" s="16">
        <f t="shared" si="3"/>
        <v>2737</v>
      </c>
      <c r="E100" s="24">
        <f t="shared" si="4"/>
        <v>4.0574738202642031</v>
      </c>
      <c r="G100" s="43">
        <v>30</v>
      </c>
      <c r="H100" s="44" t="s">
        <v>58</v>
      </c>
      <c r="I100" s="118">
        <v>3.9949999999999921</v>
      </c>
      <c r="J100" s="118">
        <v>4.0176969444444515</v>
      </c>
      <c r="K100" s="118">
        <v>4.0399393800401304</v>
      </c>
      <c r="L100" s="119">
        <v>4.0584419134369751</v>
      </c>
    </row>
    <row r="101" spans="2:15" x14ac:dyDescent="0.25">
      <c r="B101" s="34"/>
      <c r="C101" s="15">
        <f>E35</f>
        <v>48654</v>
      </c>
      <c r="D101" s="16">
        <f t="shared" si="3"/>
        <v>2828</v>
      </c>
      <c r="E101" s="24">
        <f t="shared" si="4"/>
        <v>4.095119331212473</v>
      </c>
    </row>
    <row r="102" spans="2:15" x14ac:dyDescent="0.25">
      <c r="B102" s="34"/>
      <c r="C102" s="15">
        <f t="shared" si="2"/>
        <v>48745</v>
      </c>
      <c r="D102" s="16">
        <f t="shared" si="3"/>
        <v>2919</v>
      </c>
      <c r="E102" s="24">
        <f t="shared" si="4"/>
        <v>4.1322693459582336</v>
      </c>
    </row>
    <row r="103" spans="2:15" x14ac:dyDescent="0.25">
      <c r="B103" s="34"/>
      <c r="C103" s="15">
        <f t="shared" si="2"/>
        <v>48843</v>
      </c>
      <c r="D103" s="16">
        <f t="shared" si="3"/>
        <v>3017</v>
      </c>
      <c r="E103" s="24">
        <f t="shared" si="4"/>
        <v>4.171507134434953</v>
      </c>
    </row>
    <row r="104" spans="2:15" x14ac:dyDescent="0.25">
      <c r="B104" s="34"/>
      <c r="C104" s="15">
        <f t="shared" si="2"/>
        <v>48934</v>
      </c>
      <c r="D104" s="16">
        <f t="shared" si="3"/>
        <v>3108</v>
      </c>
      <c r="E104" s="24">
        <f t="shared" si="4"/>
        <v>4.2070339912636534</v>
      </c>
    </row>
    <row r="105" spans="2:15" x14ac:dyDescent="0.25">
      <c r="B105" s="34"/>
      <c r="C105" s="15">
        <f t="shared" si="2"/>
        <v>49018</v>
      </c>
      <c r="D105" s="16">
        <f t="shared" si="3"/>
        <v>3192</v>
      </c>
      <c r="E105" s="24">
        <f t="shared" si="4"/>
        <v>4.2410736579679424</v>
      </c>
    </row>
    <row r="106" spans="2:15" x14ac:dyDescent="0.25">
      <c r="B106" s="34"/>
      <c r="C106" s="15">
        <f t="shared" si="2"/>
        <v>49116</v>
      </c>
      <c r="D106" s="16">
        <f t="shared" si="3"/>
        <v>3290</v>
      </c>
      <c r="E106" s="24">
        <f t="shared" si="4"/>
        <v>4.2791076133987662</v>
      </c>
      <c r="J106" s="52" t="s">
        <v>62</v>
      </c>
    </row>
    <row r="107" spans="2:15" ht="15.75" thickBot="1" x14ac:dyDescent="0.3">
      <c r="B107" s="35"/>
      <c r="C107" s="36">
        <f t="shared" si="2"/>
        <v>49207</v>
      </c>
      <c r="D107" s="37">
        <f t="shared" si="3"/>
        <v>3381</v>
      </c>
      <c r="E107" s="25">
        <f t="shared" si="4"/>
        <v>4.314071815248079</v>
      </c>
    </row>
    <row r="108" spans="2:15" x14ac:dyDescent="0.25">
      <c r="C108" s="10"/>
    </row>
    <row r="109" spans="2:15" x14ac:dyDescent="0.25">
      <c r="B109" s="52" t="s">
        <v>61</v>
      </c>
      <c r="C109" s="10"/>
    </row>
    <row r="110" spans="2:15" x14ac:dyDescent="0.25">
      <c r="C110" s="10"/>
    </row>
    <row r="126" spans="2:2" x14ac:dyDescent="0.25">
      <c r="B126" s="52" t="s">
        <v>63</v>
      </c>
    </row>
    <row r="127" spans="2:2" x14ac:dyDescent="0.25">
      <c r="B127" s="3" t="s">
        <v>120</v>
      </c>
    </row>
    <row r="128" spans="2:2" x14ac:dyDescent="0.25">
      <c r="B128" s="3" t="s">
        <v>122</v>
      </c>
    </row>
    <row r="129" spans="2:2" x14ac:dyDescent="0.25">
      <c r="B129" s="3" t="s">
        <v>123</v>
      </c>
    </row>
    <row r="131" spans="2:2" x14ac:dyDescent="0.25">
      <c r="B131" s="97" t="s">
        <v>62</v>
      </c>
    </row>
    <row r="132" spans="2:2" x14ac:dyDescent="0.25">
      <c r="B132" s="3" t="s">
        <v>124</v>
      </c>
    </row>
    <row r="133" spans="2:2" x14ac:dyDescent="0.25">
      <c r="B133" s="3" t="s">
        <v>125</v>
      </c>
    </row>
    <row r="134" spans="2:2" x14ac:dyDescent="0.25">
      <c r="B134" s="3" t="s">
        <v>126</v>
      </c>
    </row>
    <row r="135" spans="2:2" x14ac:dyDescent="0.25">
      <c r="B135" s="3" t="s">
        <v>127</v>
      </c>
    </row>
    <row r="136" spans="2:2" x14ac:dyDescent="0.25">
      <c r="B136" s="3" t="s">
        <v>128</v>
      </c>
    </row>
    <row r="137" spans="2:2" x14ac:dyDescent="0.25">
      <c r="B137" s="3"/>
    </row>
    <row r="138" spans="2:2" x14ac:dyDescent="0.25">
      <c r="B138" s="52" t="s">
        <v>64</v>
      </c>
    </row>
    <row r="155" spans="2:2" x14ac:dyDescent="0.25">
      <c r="B155" s="52" t="s">
        <v>65</v>
      </c>
    </row>
    <row r="156" spans="2:2" x14ac:dyDescent="0.25">
      <c r="B156" s="3" t="s">
        <v>129</v>
      </c>
    </row>
    <row r="157" spans="2:2" x14ac:dyDescent="0.25">
      <c r="B157" s="3" t="s">
        <v>130</v>
      </c>
    </row>
  </sheetData>
  <mergeCells count="3">
    <mergeCell ref="G68:L68"/>
    <mergeCell ref="B3:F3"/>
    <mergeCell ref="H3:L3"/>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BW114"/>
  <sheetViews>
    <sheetView tabSelected="1" zoomScale="90" zoomScaleNormal="90" workbookViewId="0">
      <selection activeCell="H18" sqref="H18"/>
    </sheetView>
  </sheetViews>
  <sheetFormatPr defaultRowHeight="15" x14ac:dyDescent="0.25"/>
  <cols>
    <col min="1" max="1" width="9" style="54" customWidth="1"/>
    <col min="2" max="2" width="24.7109375" style="54" customWidth="1"/>
    <col min="3" max="3" width="11.85546875" style="54" customWidth="1"/>
    <col min="4" max="4" width="11.28515625" style="54" customWidth="1"/>
    <col min="5" max="7" width="10" style="54" customWidth="1"/>
    <col min="8" max="8" width="9" style="54" customWidth="1"/>
    <col min="9" max="9" width="8.5703125" style="54" customWidth="1"/>
    <col min="10" max="13" width="10" style="54" customWidth="1"/>
    <col min="14" max="14" width="14.140625" style="54" customWidth="1"/>
    <col min="15" max="18" width="10.85546875" style="54" customWidth="1"/>
    <col min="19" max="19" width="13.28515625" style="54" customWidth="1"/>
    <col min="20" max="20" width="18.7109375" style="54" customWidth="1"/>
    <col min="21" max="26" width="10.85546875" style="54" customWidth="1"/>
    <col min="27" max="27" width="11.5703125" style="54" customWidth="1"/>
    <col min="28" max="28" width="10.5703125" style="54" customWidth="1"/>
    <col min="29" max="29" width="11.5703125" style="54" customWidth="1"/>
    <col min="30" max="30" width="9.42578125" style="54" customWidth="1"/>
    <col min="31" max="31" width="11.5703125" style="54" customWidth="1"/>
    <col min="32" max="32" width="9.42578125" style="54" customWidth="1"/>
    <col min="33" max="33" width="11.5703125" style="54" customWidth="1"/>
    <col min="34" max="34" width="9.42578125" style="54" customWidth="1"/>
    <col min="35" max="35" width="11.5703125" style="54" customWidth="1"/>
    <col min="36" max="36" width="9.42578125" style="54" customWidth="1"/>
    <col min="37" max="39" width="11.5703125" style="54" customWidth="1"/>
    <col min="40" max="40" width="14.28515625" style="54" customWidth="1"/>
    <col min="41" max="41" width="16.28515625" style="54" bestFit="1" customWidth="1"/>
    <col min="42" max="42" width="10" style="54" customWidth="1"/>
    <col min="43" max="43" width="10.5703125" style="54" customWidth="1"/>
    <col min="44" max="44" width="14.28515625" style="54" customWidth="1"/>
    <col min="45" max="45" width="16.28515625" style="54" customWidth="1"/>
    <col min="46" max="46" width="10" style="54" customWidth="1"/>
    <col min="47" max="47" width="10.5703125" style="54" customWidth="1"/>
    <col min="48" max="48" width="14.28515625" style="54" customWidth="1"/>
    <col min="49" max="49" width="16.28515625" style="54" bestFit="1" customWidth="1"/>
    <col min="50" max="50" width="13.5703125" style="54" customWidth="1"/>
    <col min="51" max="51" width="15.5703125" style="54" customWidth="1"/>
    <col min="52" max="52" width="14.28515625" style="54" customWidth="1"/>
    <col min="53" max="53" width="16.28515625" style="54" bestFit="1" customWidth="1"/>
    <col min="54" max="54" width="14.28515625" style="54" customWidth="1"/>
    <col min="55" max="55" width="16.28515625" style="54" bestFit="1" customWidth="1"/>
    <col min="56" max="56" width="10" style="54" customWidth="1"/>
    <col min="57" max="57" width="10.5703125" style="54" customWidth="1"/>
    <col min="58" max="58" width="14.28515625" style="54" customWidth="1"/>
    <col min="59" max="59" width="16.28515625" style="54" bestFit="1" customWidth="1"/>
    <col min="60" max="60" width="14.28515625" style="54" customWidth="1"/>
    <col min="61" max="61" width="16.28515625" style="54" bestFit="1" customWidth="1"/>
    <col min="62" max="62" width="10" style="54" customWidth="1"/>
    <col min="63" max="63" width="10.5703125" style="54" customWidth="1"/>
    <col min="64" max="64" width="14.28515625" style="54" customWidth="1"/>
    <col min="65" max="65" width="16.28515625" style="54" bestFit="1" customWidth="1"/>
    <col min="66" max="66" width="14.28515625" style="54" customWidth="1"/>
    <col min="67" max="67" width="16.28515625" style="54" bestFit="1" customWidth="1"/>
    <col min="68" max="68" width="10" style="54" customWidth="1"/>
    <col min="69" max="69" width="10.5703125" style="54" customWidth="1"/>
    <col min="70" max="70" width="14.28515625" style="54" customWidth="1"/>
    <col min="71" max="71" width="16.28515625" style="54" bestFit="1" customWidth="1"/>
    <col min="72" max="72" width="14.28515625" style="54" customWidth="1"/>
    <col min="73" max="73" width="16.28515625" style="54" bestFit="1" customWidth="1"/>
    <col min="74" max="74" width="13.5703125" style="54" customWidth="1"/>
    <col min="75" max="75" width="15.5703125" style="54" bestFit="1" customWidth="1"/>
    <col min="76" max="16384" width="9.140625" style="54"/>
  </cols>
  <sheetData>
    <row r="2" spans="1:26" x14ac:dyDescent="0.25">
      <c r="B2" s="56" t="s">
        <v>99</v>
      </c>
    </row>
    <row r="3" spans="1:26" ht="15.75" thickBot="1" x14ac:dyDescent="0.3">
      <c r="B3" s="56"/>
      <c r="C3" s="103" t="s">
        <v>106</v>
      </c>
      <c r="D3" s="103"/>
      <c r="E3" s="103"/>
      <c r="F3" s="103"/>
      <c r="G3" s="103"/>
      <c r="H3" s="103"/>
      <c r="I3" s="103"/>
      <c r="J3" s="103"/>
      <c r="K3" s="103"/>
      <c r="L3" s="103"/>
      <c r="M3" s="103"/>
      <c r="N3" s="103"/>
      <c r="O3" s="104" t="s">
        <v>105</v>
      </c>
      <c r="P3" s="104"/>
      <c r="Q3" s="104"/>
      <c r="R3" s="104"/>
      <c r="S3" s="104"/>
      <c r="T3" s="104"/>
      <c r="U3" s="104"/>
      <c r="V3" s="104"/>
      <c r="W3" s="104"/>
      <c r="X3" s="104"/>
      <c r="Y3" s="104"/>
      <c r="Z3" s="104"/>
    </row>
    <row r="4" spans="1:26" ht="15.75" thickBot="1" x14ac:dyDescent="0.3">
      <c r="B4" s="53" t="s">
        <v>109</v>
      </c>
      <c r="C4" s="55">
        <v>1</v>
      </c>
      <c r="D4" s="55">
        <v>2</v>
      </c>
      <c r="E4" s="55">
        <v>3</v>
      </c>
      <c r="F4" s="55">
        <v>4</v>
      </c>
      <c r="G4" s="55">
        <v>5</v>
      </c>
      <c r="H4" s="55">
        <v>6</v>
      </c>
      <c r="I4" s="55">
        <v>7</v>
      </c>
      <c r="J4" s="55">
        <v>8</v>
      </c>
      <c r="K4" s="55">
        <v>9</v>
      </c>
      <c r="L4" s="55">
        <v>10</v>
      </c>
      <c r="M4" s="55">
        <v>11</v>
      </c>
      <c r="N4" s="55">
        <v>12</v>
      </c>
      <c r="O4" s="77">
        <v>1</v>
      </c>
      <c r="P4" s="77">
        <v>2</v>
      </c>
      <c r="Q4" s="77">
        <v>3</v>
      </c>
      <c r="R4" s="77">
        <v>4</v>
      </c>
      <c r="S4" s="77">
        <v>5</v>
      </c>
      <c r="T4" s="77">
        <v>6</v>
      </c>
      <c r="U4" s="77">
        <v>7</v>
      </c>
      <c r="V4" s="77">
        <v>8</v>
      </c>
      <c r="W4" s="77">
        <v>9</v>
      </c>
      <c r="X4" s="77">
        <v>10</v>
      </c>
      <c r="Y4" s="77">
        <v>11</v>
      </c>
      <c r="Z4" s="78">
        <v>12</v>
      </c>
    </row>
    <row r="5" spans="1:26" x14ac:dyDescent="0.25">
      <c r="A5" s="62">
        <v>40182</v>
      </c>
      <c r="B5" s="63" t="s">
        <v>88</v>
      </c>
      <c r="C5" s="122">
        <v>2.3343999999999999E-3</v>
      </c>
      <c r="D5" s="123">
        <v>2.4344000000000002E-3</v>
      </c>
      <c r="E5" s="123">
        <v>2.5438000000000001E-3</v>
      </c>
      <c r="F5" s="123">
        <v>2.9125000000000002E-3</v>
      </c>
      <c r="G5" s="123">
        <v>3.5025E-3</v>
      </c>
      <c r="H5" s="123">
        <v>4.3438000000000001E-3</v>
      </c>
      <c r="I5" s="123">
        <v>5.1250000000000002E-3</v>
      </c>
      <c r="J5" s="123">
        <v>6.1999999999999998E-3</v>
      </c>
      <c r="K5" s="123">
        <v>7.1812999999999998E-3</v>
      </c>
      <c r="L5" s="123">
        <v>8.0874999999999992E-3</v>
      </c>
      <c r="M5" s="123">
        <v>9.0063000000000001E-3</v>
      </c>
      <c r="N5" s="124">
        <v>9.9375000000000002E-3</v>
      </c>
      <c r="O5" s="72">
        <v>28</v>
      </c>
      <c r="P5" s="72">
        <v>56</v>
      </c>
      <c r="Q5" s="72">
        <v>87</v>
      </c>
      <c r="R5" s="72">
        <v>119</v>
      </c>
      <c r="S5" s="72">
        <v>148</v>
      </c>
      <c r="T5" s="72">
        <v>178</v>
      </c>
      <c r="U5" s="72">
        <v>210</v>
      </c>
      <c r="V5" s="72">
        <v>240</v>
      </c>
      <c r="W5" s="72">
        <v>270</v>
      </c>
      <c r="X5" s="72">
        <v>301</v>
      </c>
      <c r="Y5" s="72">
        <v>331</v>
      </c>
      <c r="Z5" s="70">
        <v>364</v>
      </c>
    </row>
    <row r="6" spans="1:26" x14ac:dyDescent="0.25">
      <c r="A6" s="62">
        <v>40210</v>
      </c>
      <c r="B6" s="64" t="s">
        <v>71</v>
      </c>
      <c r="C6" s="122">
        <v>2.2905999999999998E-3</v>
      </c>
      <c r="D6" s="123">
        <v>2.3906000000000001E-3</v>
      </c>
      <c r="E6" s="123">
        <v>2.4905999999999999E-3</v>
      </c>
      <c r="F6" s="123">
        <v>2.7625000000000002E-3</v>
      </c>
      <c r="G6" s="123">
        <v>3.2437999999999998E-3</v>
      </c>
      <c r="H6" s="123">
        <v>3.8375000000000002E-3</v>
      </c>
      <c r="I6" s="123">
        <v>4.5563000000000001E-3</v>
      </c>
      <c r="J6" s="123">
        <v>5.3438000000000001E-3</v>
      </c>
      <c r="K6" s="123">
        <v>6.1313000000000001E-3</v>
      </c>
      <c r="L6" s="123">
        <v>6.9125000000000002E-3</v>
      </c>
      <c r="M6" s="123">
        <v>7.6563000000000004E-3</v>
      </c>
      <c r="N6" s="124">
        <v>8.4250000000000002E-3</v>
      </c>
      <c r="O6" s="72">
        <v>28</v>
      </c>
      <c r="P6" s="72">
        <v>59</v>
      </c>
      <c r="Q6" s="72">
        <v>91</v>
      </c>
      <c r="R6" s="72">
        <v>120</v>
      </c>
      <c r="S6" s="72">
        <v>150</v>
      </c>
      <c r="T6" s="72">
        <v>182</v>
      </c>
      <c r="U6" s="72">
        <v>212</v>
      </c>
      <c r="V6" s="72">
        <v>242</v>
      </c>
      <c r="W6" s="72">
        <v>273</v>
      </c>
      <c r="X6" s="72">
        <v>303</v>
      </c>
      <c r="Y6" s="72">
        <v>336</v>
      </c>
      <c r="Z6" s="70">
        <v>365</v>
      </c>
    </row>
    <row r="7" spans="1:26" x14ac:dyDescent="0.25">
      <c r="A7" s="62">
        <v>40238</v>
      </c>
      <c r="B7" s="64" t="s">
        <v>82</v>
      </c>
      <c r="C7" s="122">
        <v>2.2813E-3</v>
      </c>
      <c r="D7" s="123">
        <v>2.3938000000000002E-3</v>
      </c>
      <c r="E7" s="123">
        <v>2.5168999999999999E-3</v>
      </c>
      <c r="F7" s="123">
        <v>2.8563E-3</v>
      </c>
      <c r="G7" s="123">
        <v>3.2669000000000001E-3</v>
      </c>
      <c r="H7" s="123">
        <v>3.8375000000000002E-3</v>
      </c>
      <c r="I7" s="123">
        <v>4.5481000000000002E-3</v>
      </c>
      <c r="J7" s="123">
        <v>5.2750000000000002E-3</v>
      </c>
      <c r="K7" s="123">
        <v>6.0137999999999997E-3</v>
      </c>
      <c r="L7" s="123">
        <v>6.7930999999999998E-3</v>
      </c>
      <c r="M7" s="123">
        <v>7.5938000000000004E-3</v>
      </c>
      <c r="N7" s="124">
        <v>8.3937999999999999E-3</v>
      </c>
      <c r="O7" s="72">
        <v>31</v>
      </c>
      <c r="P7" s="72">
        <v>63</v>
      </c>
      <c r="Q7" s="72">
        <v>92</v>
      </c>
      <c r="R7" s="72">
        <v>122</v>
      </c>
      <c r="S7" s="72">
        <v>154</v>
      </c>
      <c r="T7" s="72">
        <v>184</v>
      </c>
      <c r="U7" s="72">
        <v>214</v>
      </c>
      <c r="V7" s="72">
        <v>245</v>
      </c>
      <c r="W7" s="72">
        <v>275</v>
      </c>
      <c r="X7" s="72">
        <v>308</v>
      </c>
      <c r="Y7" s="72">
        <v>337</v>
      </c>
      <c r="Z7" s="70">
        <v>365</v>
      </c>
    </row>
    <row r="8" spans="1:26" x14ac:dyDescent="0.25">
      <c r="A8" s="62">
        <v>40269</v>
      </c>
      <c r="B8" s="64" t="s">
        <v>87</v>
      </c>
      <c r="C8" s="122">
        <v>2.4862999999999999E-3</v>
      </c>
      <c r="D8" s="123">
        <v>2.6694000000000002E-3</v>
      </c>
      <c r="E8" s="123">
        <v>2.9150000000000001E-3</v>
      </c>
      <c r="F8" s="123">
        <v>3.2850000000000002E-3</v>
      </c>
      <c r="G8" s="123">
        <v>3.7063E-3</v>
      </c>
      <c r="H8" s="123">
        <v>4.4156000000000004E-3</v>
      </c>
      <c r="I8" s="123">
        <v>5.1562999999999999E-3</v>
      </c>
      <c r="J8" s="123">
        <v>5.8906000000000002E-3</v>
      </c>
      <c r="K8" s="123">
        <v>6.7124999999999997E-3</v>
      </c>
      <c r="L8" s="123">
        <v>7.5294000000000003E-3</v>
      </c>
      <c r="M8" s="123">
        <v>8.3374999999999994E-3</v>
      </c>
      <c r="N8" s="124">
        <v>9.1500000000000001E-3</v>
      </c>
      <c r="O8" s="72">
        <v>32</v>
      </c>
      <c r="P8" s="72">
        <v>61</v>
      </c>
      <c r="Q8" s="72">
        <v>91</v>
      </c>
      <c r="R8" s="72">
        <v>123</v>
      </c>
      <c r="S8" s="72">
        <v>153</v>
      </c>
      <c r="T8" s="72">
        <v>183</v>
      </c>
      <c r="U8" s="72">
        <v>214</v>
      </c>
      <c r="V8" s="72">
        <v>244</v>
      </c>
      <c r="W8" s="72">
        <v>277</v>
      </c>
      <c r="X8" s="72">
        <v>306</v>
      </c>
      <c r="Y8" s="72">
        <v>334</v>
      </c>
      <c r="Z8" s="70">
        <v>365</v>
      </c>
    </row>
    <row r="9" spans="1:26" x14ac:dyDescent="0.25">
      <c r="A9" s="62">
        <v>40301</v>
      </c>
      <c r="B9" s="64" t="s">
        <v>86</v>
      </c>
      <c r="C9" s="122">
        <v>2.8468999999999999E-3</v>
      </c>
      <c r="D9" s="123">
        <v>3.2125000000000001E-3</v>
      </c>
      <c r="E9" s="123">
        <v>3.5312999999999998E-3</v>
      </c>
      <c r="F9" s="123">
        <v>4.0499999999999998E-3</v>
      </c>
      <c r="G9" s="123">
        <v>4.6375000000000001E-3</v>
      </c>
      <c r="H9" s="123">
        <v>5.4577999999999996E-3</v>
      </c>
      <c r="I9" s="123">
        <v>6.2531000000000002E-3</v>
      </c>
      <c r="J9" s="123">
        <v>7.0375000000000004E-3</v>
      </c>
      <c r="K9" s="123">
        <v>7.8688000000000004E-3</v>
      </c>
      <c r="L9" s="123">
        <v>8.6718999999999997E-3</v>
      </c>
      <c r="M9" s="123">
        <v>9.4906000000000001E-3</v>
      </c>
      <c r="N9" s="124">
        <v>1.04E-2</v>
      </c>
      <c r="O9" s="72">
        <v>29</v>
      </c>
      <c r="P9" s="72">
        <v>59</v>
      </c>
      <c r="Q9" s="72">
        <v>91</v>
      </c>
      <c r="R9" s="72">
        <v>121</v>
      </c>
      <c r="S9" s="72">
        <v>151</v>
      </c>
      <c r="T9" s="72">
        <v>182</v>
      </c>
      <c r="U9" s="72">
        <v>212</v>
      </c>
      <c r="V9" s="72">
        <v>245</v>
      </c>
      <c r="W9" s="72">
        <v>274</v>
      </c>
      <c r="X9" s="72">
        <v>302</v>
      </c>
      <c r="Y9" s="72">
        <v>333</v>
      </c>
      <c r="Z9" s="70">
        <v>364</v>
      </c>
    </row>
    <row r="10" spans="1:26" x14ac:dyDescent="0.25">
      <c r="A10" s="62">
        <v>40330</v>
      </c>
      <c r="B10" s="64" t="s">
        <v>83</v>
      </c>
      <c r="C10" s="122">
        <v>3.5087999999999999E-3</v>
      </c>
      <c r="D10" s="123">
        <v>4.3438000000000001E-3</v>
      </c>
      <c r="E10" s="123">
        <v>5.3625000000000001E-3</v>
      </c>
      <c r="F10" s="123">
        <v>6.0774999999999996E-3</v>
      </c>
      <c r="G10" s="123">
        <v>6.7118999999999998E-3</v>
      </c>
      <c r="H10" s="123">
        <v>7.6112999999999997E-3</v>
      </c>
      <c r="I10" s="123">
        <v>8.3213000000000002E-3</v>
      </c>
      <c r="J10" s="123">
        <v>9.0363000000000006E-3</v>
      </c>
      <c r="K10" s="123">
        <v>9.8718999999999994E-3</v>
      </c>
      <c r="L10" s="123">
        <v>1.05863E-2</v>
      </c>
      <c r="M10" s="123">
        <v>1.1367499999999999E-2</v>
      </c>
      <c r="N10" s="124">
        <v>1.2087499999999999E-2</v>
      </c>
      <c r="O10" s="72">
        <v>30</v>
      </c>
      <c r="P10" s="72">
        <v>62</v>
      </c>
      <c r="Q10" s="72">
        <v>92</v>
      </c>
      <c r="R10" s="72">
        <v>122</v>
      </c>
      <c r="S10" s="72">
        <v>153</v>
      </c>
      <c r="T10" s="72">
        <v>183</v>
      </c>
      <c r="U10" s="72">
        <v>216</v>
      </c>
      <c r="V10" s="72">
        <v>245</v>
      </c>
      <c r="W10" s="72">
        <v>273</v>
      </c>
      <c r="X10" s="72">
        <v>304</v>
      </c>
      <c r="Y10" s="72">
        <v>335</v>
      </c>
      <c r="Z10" s="70">
        <v>367</v>
      </c>
    </row>
    <row r="11" spans="1:26" x14ac:dyDescent="0.25">
      <c r="A11" s="62">
        <v>40360</v>
      </c>
      <c r="B11" s="64" t="s">
        <v>89</v>
      </c>
      <c r="C11" s="122">
        <v>3.4719E-3</v>
      </c>
      <c r="D11" s="123">
        <v>4.3062999999999999E-3</v>
      </c>
      <c r="E11" s="123">
        <v>5.3331000000000003E-3</v>
      </c>
      <c r="F11" s="123">
        <v>6.0337999999999998E-3</v>
      </c>
      <c r="G11" s="123">
        <v>6.7162999999999997E-3</v>
      </c>
      <c r="H11" s="123">
        <v>7.5100000000000002E-3</v>
      </c>
      <c r="I11" s="123">
        <v>8.1819000000000006E-3</v>
      </c>
      <c r="J11" s="123">
        <v>8.8655999999999995E-3</v>
      </c>
      <c r="K11" s="123">
        <v>9.5375000000000008E-3</v>
      </c>
      <c r="L11" s="123">
        <v>1.025E-2</v>
      </c>
      <c r="M11" s="123">
        <v>1.10125E-2</v>
      </c>
      <c r="N11" s="124">
        <v>1.17313E-2</v>
      </c>
      <c r="O11" s="72">
        <v>32</v>
      </c>
      <c r="P11" s="72">
        <v>62</v>
      </c>
      <c r="Q11" s="72">
        <v>92</v>
      </c>
      <c r="R11" s="72">
        <v>123</v>
      </c>
      <c r="S11" s="72">
        <v>153</v>
      </c>
      <c r="T11" s="72">
        <v>186</v>
      </c>
      <c r="U11" s="72">
        <v>215</v>
      </c>
      <c r="V11" s="72">
        <v>243</v>
      </c>
      <c r="W11" s="72">
        <v>274</v>
      </c>
      <c r="X11" s="72">
        <v>305</v>
      </c>
      <c r="Y11" s="72">
        <v>337</v>
      </c>
      <c r="Z11" s="70">
        <v>365</v>
      </c>
    </row>
    <row r="12" spans="1:26" x14ac:dyDescent="0.25">
      <c r="A12" s="62">
        <v>40392</v>
      </c>
      <c r="B12" s="64" t="s">
        <v>90</v>
      </c>
      <c r="C12" s="122">
        <v>3.0281000000000001E-3</v>
      </c>
      <c r="D12" s="123">
        <v>3.6094E-3</v>
      </c>
      <c r="E12" s="123">
        <v>4.4469000000000002E-3</v>
      </c>
      <c r="F12" s="123">
        <v>5.1212999999999996E-3</v>
      </c>
      <c r="G12" s="123">
        <v>5.8125E-3</v>
      </c>
      <c r="H12" s="123">
        <v>6.5994000000000001E-3</v>
      </c>
      <c r="I12" s="123">
        <v>7.1944000000000001E-3</v>
      </c>
      <c r="J12" s="123">
        <v>7.7374999999999996E-3</v>
      </c>
      <c r="K12" s="123">
        <v>8.2781E-3</v>
      </c>
      <c r="L12" s="123">
        <v>8.9656000000000007E-3</v>
      </c>
      <c r="M12" s="123">
        <v>9.6562999999999996E-3</v>
      </c>
      <c r="N12" s="124">
        <v>1.0297499999999999E-2</v>
      </c>
      <c r="O12" s="72">
        <v>30</v>
      </c>
      <c r="P12" s="72">
        <v>60</v>
      </c>
      <c r="Q12" s="72">
        <v>91</v>
      </c>
      <c r="R12" s="72">
        <v>121</v>
      </c>
      <c r="S12" s="72">
        <v>154</v>
      </c>
      <c r="T12" s="72">
        <v>183</v>
      </c>
      <c r="U12" s="72">
        <v>211</v>
      </c>
      <c r="V12" s="72">
        <v>242</v>
      </c>
      <c r="W12" s="72">
        <v>273</v>
      </c>
      <c r="X12" s="72">
        <v>305</v>
      </c>
      <c r="Y12" s="72">
        <v>333</v>
      </c>
      <c r="Z12" s="70">
        <v>364</v>
      </c>
    </row>
    <row r="13" spans="1:26" x14ac:dyDescent="0.25">
      <c r="A13" s="62">
        <v>40422</v>
      </c>
      <c r="B13" s="64" t="s">
        <v>91</v>
      </c>
      <c r="C13" s="122">
        <v>2.5780999999999998E-3</v>
      </c>
      <c r="D13" s="123">
        <v>2.7469E-3</v>
      </c>
      <c r="E13" s="123">
        <v>2.9562999999999998E-3</v>
      </c>
      <c r="F13" s="123">
        <v>3.5593999999999999E-3</v>
      </c>
      <c r="G13" s="123">
        <v>4.2818999999999999E-3</v>
      </c>
      <c r="H13" s="123">
        <v>4.9624999999999999E-3</v>
      </c>
      <c r="I13" s="123">
        <v>5.535E-3</v>
      </c>
      <c r="J13" s="123">
        <v>6.0888000000000001E-3</v>
      </c>
      <c r="K13" s="123">
        <v>6.5813E-3</v>
      </c>
      <c r="L13" s="123">
        <v>7.1574999999999998E-3</v>
      </c>
      <c r="M13" s="123">
        <v>7.7688000000000002E-3</v>
      </c>
      <c r="N13" s="124">
        <v>8.3987999999999997E-3</v>
      </c>
      <c r="O13" s="72">
        <v>30</v>
      </c>
      <c r="P13" s="72">
        <v>61</v>
      </c>
      <c r="Q13" s="72">
        <v>91</v>
      </c>
      <c r="R13" s="72">
        <v>124</v>
      </c>
      <c r="S13" s="72">
        <v>153</v>
      </c>
      <c r="T13" s="72">
        <v>181</v>
      </c>
      <c r="U13" s="72">
        <v>212</v>
      </c>
      <c r="V13" s="72">
        <v>243</v>
      </c>
      <c r="W13" s="72">
        <v>275</v>
      </c>
      <c r="X13" s="72">
        <v>303</v>
      </c>
      <c r="Y13" s="72">
        <v>334</v>
      </c>
      <c r="Z13" s="70">
        <v>365</v>
      </c>
    </row>
    <row r="14" spans="1:26" x14ac:dyDescent="0.25">
      <c r="A14" s="62">
        <v>40452</v>
      </c>
      <c r="B14" s="64" t="s">
        <v>84</v>
      </c>
      <c r="C14" s="122">
        <v>2.5688E-3</v>
      </c>
      <c r="D14" s="123">
        <v>2.7358999999999999E-3</v>
      </c>
      <c r="E14" s="123">
        <v>2.9063000000000001E-3</v>
      </c>
      <c r="F14" s="123">
        <v>3.4469000000000001E-3</v>
      </c>
      <c r="G14" s="123">
        <v>4.0813000000000004E-3</v>
      </c>
      <c r="H14" s="123">
        <v>4.6312999999999997E-3</v>
      </c>
      <c r="I14" s="123">
        <v>5.1343999999999999E-3</v>
      </c>
      <c r="J14" s="123">
        <v>5.6375000000000001E-3</v>
      </c>
      <c r="K14" s="123">
        <v>6.1203000000000004E-3</v>
      </c>
      <c r="L14" s="123">
        <v>6.6531000000000003E-3</v>
      </c>
      <c r="M14" s="123">
        <v>7.1843999999999996E-3</v>
      </c>
      <c r="N14" s="124">
        <v>7.7837999999999996E-3</v>
      </c>
      <c r="O14" s="72">
        <v>31</v>
      </c>
      <c r="P14" s="72">
        <v>61</v>
      </c>
      <c r="Q14" s="72">
        <v>94</v>
      </c>
      <c r="R14" s="72">
        <v>123</v>
      </c>
      <c r="S14" s="72">
        <v>151</v>
      </c>
      <c r="T14" s="72">
        <v>182</v>
      </c>
      <c r="U14" s="72">
        <v>213</v>
      </c>
      <c r="V14" s="72">
        <v>245</v>
      </c>
      <c r="W14" s="72">
        <v>273</v>
      </c>
      <c r="X14" s="72">
        <v>304</v>
      </c>
      <c r="Y14" s="72">
        <v>335</v>
      </c>
      <c r="Z14" s="70">
        <v>367</v>
      </c>
    </row>
    <row r="15" spans="1:26" x14ac:dyDescent="0.25">
      <c r="A15" s="62">
        <v>40483</v>
      </c>
      <c r="B15" s="64" t="s">
        <v>81</v>
      </c>
      <c r="C15" s="122">
        <v>2.5374999999999998E-3</v>
      </c>
      <c r="D15" s="123">
        <v>2.6859000000000002E-3</v>
      </c>
      <c r="E15" s="123">
        <v>2.8593999999999998E-3</v>
      </c>
      <c r="F15" s="123">
        <v>3.3500000000000001E-3</v>
      </c>
      <c r="G15" s="123">
        <v>3.9624999999999999E-3</v>
      </c>
      <c r="H15" s="123">
        <v>4.4562999999999998E-3</v>
      </c>
      <c r="I15" s="123">
        <v>4.9350000000000002E-3</v>
      </c>
      <c r="J15" s="123">
        <v>5.4124999999999998E-3</v>
      </c>
      <c r="K15" s="123">
        <v>5.9312999999999996E-3</v>
      </c>
      <c r="L15" s="123">
        <v>6.4749999999999999E-3</v>
      </c>
      <c r="M15" s="123">
        <v>7.0280999999999998E-3</v>
      </c>
      <c r="N15" s="124">
        <v>7.6038E-3</v>
      </c>
      <c r="O15" s="72">
        <v>30</v>
      </c>
      <c r="P15" s="72">
        <v>63</v>
      </c>
      <c r="Q15" s="72">
        <v>92</v>
      </c>
      <c r="R15" s="72">
        <v>120</v>
      </c>
      <c r="S15" s="72">
        <v>151</v>
      </c>
      <c r="T15" s="72">
        <v>182</v>
      </c>
      <c r="U15" s="72">
        <v>214</v>
      </c>
      <c r="V15" s="72">
        <v>242</v>
      </c>
      <c r="W15" s="72">
        <v>273</v>
      </c>
      <c r="X15" s="72">
        <v>304</v>
      </c>
      <c r="Y15" s="72">
        <v>336</v>
      </c>
      <c r="Z15" s="70">
        <v>365</v>
      </c>
    </row>
    <row r="16" spans="1:26" ht="15.75" thickBot="1" x14ac:dyDescent="0.3">
      <c r="A16" s="62">
        <v>40513</v>
      </c>
      <c r="B16" s="65" t="s">
        <v>85</v>
      </c>
      <c r="C16" s="125">
        <v>2.6530999999999998E-3</v>
      </c>
      <c r="D16" s="126">
        <v>2.8249999999999998E-3</v>
      </c>
      <c r="E16" s="126">
        <v>3.0344E-3</v>
      </c>
      <c r="F16" s="126">
        <v>3.5030999999999999E-3</v>
      </c>
      <c r="G16" s="126">
        <v>4.1094E-3</v>
      </c>
      <c r="H16" s="126">
        <v>4.6655999999999998E-3</v>
      </c>
      <c r="I16" s="126">
        <v>5.1875000000000003E-3</v>
      </c>
      <c r="J16" s="126">
        <v>5.7124999999999997E-3</v>
      </c>
      <c r="K16" s="126">
        <v>6.2155999999999999E-3</v>
      </c>
      <c r="L16" s="126">
        <v>6.7313E-3</v>
      </c>
      <c r="M16" s="126">
        <v>7.2906000000000004E-3</v>
      </c>
      <c r="N16" s="127">
        <v>7.9000000000000008E-3</v>
      </c>
      <c r="O16" s="73">
        <v>33</v>
      </c>
      <c r="P16" s="73">
        <v>62</v>
      </c>
      <c r="Q16" s="73">
        <v>90</v>
      </c>
      <c r="R16" s="73">
        <v>121</v>
      </c>
      <c r="S16" s="73">
        <v>152</v>
      </c>
      <c r="T16" s="73">
        <v>184</v>
      </c>
      <c r="U16" s="73">
        <v>212</v>
      </c>
      <c r="V16" s="73">
        <v>243</v>
      </c>
      <c r="W16" s="73">
        <v>274</v>
      </c>
      <c r="X16" s="73">
        <v>306</v>
      </c>
      <c r="Y16" s="73">
        <v>335</v>
      </c>
      <c r="Z16" s="71">
        <v>366</v>
      </c>
    </row>
    <row r="17" spans="1:70" x14ac:dyDescent="0.25">
      <c r="A17" s="62"/>
      <c r="B17" s="85"/>
      <c r="C17" s="60"/>
      <c r="D17" s="60"/>
      <c r="E17" s="60"/>
      <c r="F17" s="60"/>
      <c r="G17" s="60"/>
      <c r="H17" s="60"/>
      <c r="I17" s="60"/>
      <c r="J17" s="60"/>
      <c r="K17" s="60"/>
      <c r="L17" s="60"/>
      <c r="M17" s="60"/>
      <c r="N17" s="60"/>
      <c r="O17" s="61"/>
      <c r="P17" s="61"/>
      <c r="Q17" s="61"/>
      <c r="R17" s="61"/>
      <c r="S17" s="61"/>
      <c r="T17" s="61"/>
      <c r="U17" s="61"/>
      <c r="V17" s="61"/>
      <c r="W17" s="61"/>
      <c r="X17" s="61"/>
      <c r="Y17" s="61"/>
      <c r="Z17" s="61"/>
    </row>
    <row r="18" spans="1:70" x14ac:dyDescent="0.25">
      <c r="A18" s="61"/>
      <c r="B18" s="59"/>
      <c r="C18" s="60"/>
      <c r="D18" s="60"/>
      <c r="E18" s="60"/>
      <c r="F18" s="60"/>
      <c r="G18" s="60"/>
      <c r="H18" s="60"/>
      <c r="I18" s="60"/>
      <c r="J18" s="60"/>
      <c r="K18" s="60"/>
      <c r="L18" s="60"/>
      <c r="M18" s="60"/>
      <c r="N18" s="60"/>
    </row>
    <row r="19" spans="1:70" x14ac:dyDescent="0.25">
      <c r="A19" s="61"/>
      <c r="B19" s="59"/>
      <c r="C19" s="60"/>
      <c r="D19" s="60"/>
      <c r="E19" s="60"/>
      <c r="F19" s="60"/>
      <c r="G19" s="60"/>
      <c r="H19" s="60"/>
      <c r="I19" s="60"/>
      <c r="J19" s="60"/>
      <c r="K19" s="60"/>
      <c r="L19" s="60"/>
      <c r="M19" s="60"/>
      <c r="N19"/>
      <c r="O19"/>
    </row>
    <row r="20" spans="1:70" x14ac:dyDescent="0.25">
      <c r="A20" s="61"/>
      <c r="B20" s="59"/>
      <c r="C20" s="60"/>
      <c r="D20" s="60"/>
      <c r="E20" s="60"/>
      <c r="F20" s="60"/>
      <c r="G20" s="60"/>
      <c r="H20" s="60"/>
      <c r="I20" s="60"/>
      <c r="J20" s="60"/>
      <c r="K20" s="60"/>
      <c r="L20" s="60"/>
      <c r="M20" s="60"/>
    </row>
    <row r="21" spans="1:70" x14ac:dyDescent="0.25">
      <c r="A21" s="61"/>
      <c r="B21" s="57" t="s">
        <v>70</v>
      </c>
      <c r="C21" t="s">
        <v>86</v>
      </c>
      <c r="D21" s="60"/>
      <c r="E21" s="60"/>
      <c r="F21" s="60"/>
      <c r="G21" s="60"/>
      <c r="H21" s="60"/>
      <c r="I21" s="60"/>
      <c r="J21" s="60"/>
      <c r="K21" s="60"/>
      <c r="L21" s="60"/>
      <c r="M21" s="60"/>
      <c r="N21"/>
      <c r="O21"/>
      <c r="P21"/>
      <c r="Q21"/>
      <c r="R21"/>
      <c r="S21"/>
      <c r="T21"/>
      <c r="U21"/>
      <c r="V21"/>
      <c r="W21"/>
      <c r="X21"/>
      <c r="Y21"/>
      <c r="Z21"/>
      <c r="AA21"/>
      <c r="AB21"/>
      <c r="AC21"/>
      <c r="AD21"/>
      <c r="AE21"/>
      <c r="AF21"/>
      <c r="AG21"/>
      <c r="AH21"/>
    </row>
    <row r="22" spans="1:70" x14ac:dyDescent="0.25">
      <c r="B22"/>
      <c r="C22" s="8"/>
      <c r="D22" s="60"/>
      <c r="E22" s="60"/>
      <c r="F22" s="60"/>
      <c r="G22" s="60"/>
      <c r="H22" s="60"/>
      <c r="I22" s="60"/>
      <c r="J22" s="60"/>
      <c r="K22" s="60"/>
      <c r="L22" s="60"/>
      <c r="M22" s="60"/>
      <c r="N22"/>
      <c r="O22"/>
      <c r="P22"/>
      <c r="Q22"/>
      <c r="R22"/>
      <c r="S22"/>
      <c r="T22"/>
      <c r="U22"/>
      <c r="V22"/>
      <c r="W22"/>
      <c r="X22"/>
      <c r="Y22"/>
      <c r="Z22"/>
      <c r="AA22"/>
      <c r="AB22"/>
      <c r="AC22"/>
      <c r="AD22"/>
      <c r="AE22"/>
      <c r="AF22"/>
      <c r="AG22"/>
      <c r="AH22"/>
    </row>
    <row r="23" spans="1:70" x14ac:dyDescent="0.25">
      <c r="B23" s="57" t="s">
        <v>72</v>
      </c>
      <c r="C23"/>
      <c r="D23"/>
      <c r="E23"/>
      <c r="F23"/>
      <c r="G23"/>
      <c r="H23"/>
      <c r="I23"/>
      <c r="J23"/>
      <c r="K23"/>
      <c r="L23"/>
      <c r="M23"/>
      <c r="N23"/>
      <c r="O23"/>
      <c r="P23"/>
      <c r="Q23"/>
      <c r="R23"/>
      <c r="S23"/>
      <c r="T23"/>
      <c r="U23"/>
      <c r="V23"/>
      <c r="W23"/>
      <c r="X23"/>
      <c r="Y23"/>
      <c r="Z23"/>
      <c r="AA23"/>
      <c r="AB23"/>
      <c r="AC23"/>
      <c r="AD23"/>
      <c r="AE23"/>
      <c r="AF23"/>
      <c r="AG23"/>
      <c r="AH23"/>
    </row>
    <row r="24" spans="1:70" x14ac:dyDescent="0.25">
      <c r="B24" s="3" t="s">
        <v>66</v>
      </c>
      <c r="C24" s="58">
        <v>2.8468999999999999E-3</v>
      </c>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row>
    <row r="25" spans="1:70" x14ac:dyDescent="0.25">
      <c r="B25" s="3" t="s">
        <v>67</v>
      </c>
      <c r="C25" s="58">
        <v>3.2125000000000001E-3</v>
      </c>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row>
    <row r="26" spans="1:70" x14ac:dyDescent="0.25">
      <c r="B26" s="3" t="s">
        <v>68</v>
      </c>
      <c r="C26" s="58">
        <v>3.5312999999999998E-3</v>
      </c>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row>
    <row r="27" spans="1:70" x14ac:dyDescent="0.25">
      <c r="B27" s="3" t="s">
        <v>69</v>
      </c>
      <c r="C27" s="58">
        <v>4.0499999999999998E-3</v>
      </c>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row>
    <row r="28" spans="1:70" x14ac:dyDescent="0.25">
      <c r="B28" s="3" t="s">
        <v>73</v>
      </c>
      <c r="C28" s="58">
        <v>4.6375000000000001E-3</v>
      </c>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row>
    <row r="29" spans="1:70" x14ac:dyDescent="0.25">
      <c r="B29" s="3" t="s">
        <v>74</v>
      </c>
      <c r="C29" s="58">
        <v>5.4577999999999996E-3</v>
      </c>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row>
    <row r="30" spans="1:70" x14ac:dyDescent="0.25">
      <c r="B30" s="3" t="s">
        <v>75</v>
      </c>
      <c r="C30" s="58">
        <v>6.2531000000000002E-3</v>
      </c>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row>
    <row r="31" spans="1:70" x14ac:dyDescent="0.25">
      <c r="B31" s="3" t="s">
        <v>76</v>
      </c>
      <c r="C31" s="58">
        <v>7.0375000000000004E-3</v>
      </c>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row>
    <row r="32" spans="1:70" x14ac:dyDescent="0.25">
      <c r="B32" s="3" t="s">
        <v>77</v>
      </c>
      <c r="C32" s="58">
        <v>7.8688000000000004E-3</v>
      </c>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row>
    <row r="33" spans="2:75" x14ac:dyDescent="0.25">
      <c r="B33" s="3" t="s">
        <v>78</v>
      </c>
      <c r="C33" s="58">
        <v>8.6718999999999997E-3</v>
      </c>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row>
    <row r="34" spans="2:75" x14ac:dyDescent="0.25">
      <c r="B34" s="3" t="s">
        <v>79</v>
      </c>
      <c r="C34" s="58">
        <v>9.4906000000000001E-3</v>
      </c>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row>
    <row r="35" spans="2:75" x14ac:dyDescent="0.25">
      <c r="B35" s="3" t="s">
        <v>80</v>
      </c>
      <c r="C35" s="58">
        <v>1.04E-2</v>
      </c>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row>
    <row r="36" spans="2:75" x14ac:dyDescent="0.25">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row>
    <row r="37" spans="2:75" x14ac:dyDescent="0.25">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row>
    <row r="38" spans="2:75" x14ac:dyDescent="0.25">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row>
    <row r="39" spans="2:75" x14ac:dyDescent="0.25">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row>
    <row r="40" spans="2:75" x14ac:dyDescent="0.25">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row>
    <row r="41" spans="2:75" x14ac:dyDescent="0.25">
      <c r="B41" t="s">
        <v>96</v>
      </c>
      <c r="C41"/>
      <c r="D41"/>
      <c r="E41"/>
      <c r="F41"/>
      <c r="G41"/>
      <c r="H41"/>
      <c r="I41"/>
      <c r="J41"/>
      <c r="K41"/>
      <c r="L41"/>
      <c r="M41"/>
      <c r="N41"/>
      <c r="O41"/>
      <c r="P41"/>
      <c r="Q41"/>
      <c r="R41"/>
      <c r="S41"/>
      <c r="T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row>
    <row r="42" spans="2:75" x14ac:dyDescent="0.25">
      <c r="B42" t="s">
        <v>92</v>
      </c>
      <c r="C42"/>
      <c r="D42"/>
      <c r="E42"/>
      <c r="F42"/>
      <c r="G42"/>
      <c r="H42"/>
      <c r="I42"/>
      <c r="J42"/>
      <c r="K42"/>
      <c r="L42"/>
      <c r="M42"/>
      <c r="N42"/>
      <c r="O42"/>
      <c r="P42"/>
      <c r="Q42"/>
      <c r="R42"/>
      <c r="S42"/>
      <c r="T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row>
    <row r="43" spans="2:75" x14ac:dyDescent="0.25">
      <c r="B43" t="s">
        <v>94</v>
      </c>
    </row>
    <row r="44" spans="2:75" x14ac:dyDescent="0.25">
      <c r="B44" t="s">
        <v>131</v>
      </c>
    </row>
    <row r="45" spans="2:75" x14ac:dyDescent="0.25">
      <c r="B45" t="s">
        <v>95</v>
      </c>
    </row>
    <row r="46" spans="2:75" ht="15.75" thickBot="1" x14ac:dyDescent="0.3">
      <c r="B46"/>
    </row>
    <row r="47" spans="2:75" ht="15.75" thickBot="1" x14ac:dyDescent="0.3">
      <c r="B47"/>
      <c r="S47" s="53" t="s">
        <v>70</v>
      </c>
      <c r="T47" s="67" t="s">
        <v>93</v>
      </c>
    </row>
    <row r="48" spans="2:75" x14ac:dyDescent="0.25">
      <c r="B48" s="56" t="s">
        <v>98</v>
      </c>
      <c r="S48" s="63" t="s">
        <v>88</v>
      </c>
      <c r="T48" s="68">
        <f>MAX(C5:N5)-MIN(C5:N5)</f>
        <v>7.6030999999999998E-3</v>
      </c>
    </row>
    <row r="49" spans="1:20" x14ac:dyDescent="0.25">
      <c r="B49" s="74" t="s">
        <v>100</v>
      </c>
      <c r="S49" s="64" t="s">
        <v>71</v>
      </c>
      <c r="T49" s="68">
        <f>MAX(C6:N6)-MIN(C6:N6)</f>
        <v>6.1343999999999999E-3</v>
      </c>
    </row>
    <row r="50" spans="1:20" ht="16.5" thickBot="1" x14ac:dyDescent="0.3">
      <c r="A50" s="76" t="s">
        <v>101</v>
      </c>
      <c r="B50" s="76" t="s">
        <v>101</v>
      </c>
      <c r="C50" s="54" t="s">
        <v>104</v>
      </c>
      <c r="D50" s="69">
        <v>1</v>
      </c>
      <c r="E50" s="69">
        <v>2</v>
      </c>
      <c r="F50" s="69">
        <v>3</v>
      </c>
      <c r="G50" s="69">
        <v>4</v>
      </c>
      <c r="H50" s="69">
        <v>5</v>
      </c>
      <c r="I50" s="69">
        <v>6</v>
      </c>
      <c r="J50" s="69">
        <v>7</v>
      </c>
      <c r="K50" s="69">
        <v>8</v>
      </c>
      <c r="L50" s="69">
        <v>9</v>
      </c>
      <c r="M50" s="69">
        <v>10</v>
      </c>
      <c r="N50" s="69">
        <v>11</v>
      </c>
      <c r="O50" s="69">
        <v>12</v>
      </c>
      <c r="S50" s="64" t="s">
        <v>82</v>
      </c>
      <c r="T50" s="68">
        <f>MAX(C7:N7)-MIN(C7:N7)</f>
        <v>6.1124999999999999E-3</v>
      </c>
    </row>
    <row r="51" spans="1:20" x14ac:dyDescent="0.25">
      <c r="A51" s="128" t="s">
        <v>103</v>
      </c>
      <c r="B51" s="137" t="s">
        <v>102</v>
      </c>
      <c r="C51" s="131" t="s">
        <v>88</v>
      </c>
      <c r="D51" s="69">
        <f t="shared" ref="D51:D62" si="0">_xlfn.DAYS(C52,C51)</f>
        <v>28</v>
      </c>
      <c r="E51" s="69">
        <f t="shared" ref="E51:E62" si="1">_xlfn.DAYS(C53,C51)</f>
        <v>56</v>
      </c>
      <c r="F51" s="69">
        <f t="shared" ref="F51:F62" si="2">_xlfn.DAYS(C54,C51)</f>
        <v>87</v>
      </c>
      <c r="G51" s="69">
        <f t="shared" ref="G51:G62" si="3">_xlfn.DAYS(C55,C51)</f>
        <v>119</v>
      </c>
      <c r="H51" s="69">
        <f t="shared" ref="H51:H62" si="4">_xlfn.DAYS(C56,C51)</f>
        <v>148</v>
      </c>
      <c r="I51" s="69">
        <f t="shared" ref="I51:I62" si="5">_xlfn.DAYS(C57,C51)</f>
        <v>178</v>
      </c>
      <c r="J51" s="69">
        <f t="shared" ref="J51:J62" si="6">_xlfn.DAYS(C58,C51)</f>
        <v>210</v>
      </c>
      <c r="K51" s="69">
        <f t="shared" ref="K51:K62" si="7">_xlfn.DAYS(C59,C51)</f>
        <v>240</v>
      </c>
      <c r="L51" s="69">
        <f t="shared" ref="L51:L62" si="8">_xlfn.DAYS(C60,C51)</f>
        <v>270</v>
      </c>
      <c r="M51" s="69">
        <f t="shared" ref="M51:M62" si="9">_xlfn.DAYS(C61,C51)</f>
        <v>301</v>
      </c>
      <c r="N51" s="69">
        <f t="shared" ref="N51:N62" si="10">_xlfn.DAYS(C62,C51)</f>
        <v>331</v>
      </c>
      <c r="O51" s="69">
        <f t="shared" ref="O51:O62" si="11">_xlfn.DAYS(C63,C51)</f>
        <v>364</v>
      </c>
      <c r="S51" s="64" t="s">
        <v>87</v>
      </c>
      <c r="T51" s="68">
        <f>MAX(C8:N8)-MIN(C8:N8)</f>
        <v>6.6636999999999998E-3</v>
      </c>
    </row>
    <row r="52" spans="1:20" x14ac:dyDescent="0.25">
      <c r="A52" s="129"/>
      <c r="B52" s="138"/>
      <c r="C52" s="132" t="s">
        <v>71</v>
      </c>
      <c r="D52" s="69">
        <f t="shared" si="0"/>
        <v>28</v>
      </c>
      <c r="E52" s="69">
        <f t="shared" si="1"/>
        <v>59</v>
      </c>
      <c r="F52" s="69">
        <f t="shared" si="2"/>
        <v>91</v>
      </c>
      <c r="G52" s="69">
        <f t="shared" si="3"/>
        <v>120</v>
      </c>
      <c r="H52" s="69">
        <f t="shared" si="4"/>
        <v>150</v>
      </c>
      <c r="I52" s="69">
        <f t="shared" si="5"/>
        <v>182</v>
      </c>
      <c r="J52" s="69">
        <f t="shared" si="6"/>
        <v>212</v>
      </c>
      <c r="K52" s="69">
        <f t="shared" si="7"/>
        <v>242</v>
      </c>
      <c r="L52" s="69">
        <f t="shared" si="8"/>
        <v>273</v>
      </c>
      <c r="M52" s="69">
        <f t="shared" si="9"/>
        <v>303</v>
      </c>
      <c r="N52" s="69">
        <f t="shared" si="10"/>
        <v>336</v>
      </c>
      <c r="O52" s="69">
        <f t="shared" si="11"/>
        <v>365</v>
      </c>
      <c r="S52" s="64" t="s">
        <v>86</v>
      </c>
      <c r="T52" s="68">
        <f>MAX(C9:N9)-MIN(C9:N9)</f>
        <v>7.5531000000000001E-3</v>
      </c>
    </row>
    <row r="53" spans="1:20" x14ac:dyDescent="0.25">
      <c r="A53" s="129"/>
      <c r="B53" s="138"/>
      <c r="C53" s="132" t="s">
        <v>82</v>
      </c>
      <c r="D53" s="69">
        <f t="shared" si="0"/>
        <v>31</v>
      </c>
      <c r="E53" s="69">
        <f t="shared" si="1"/>
        <v>63</v>
      </c>
      <c r="F53" s="69">
        <f t="shared" si="2"/>
        <v>92</v>
      </c>
      <c r="G53" s="69">
        <f t="shared" si="3"/>
        <v>122</v>
      </c>
      <c r="H53" s="69">
        <f t="shared" si="4"/>
        <v>154</v>
      </c>
      <c r="I53" s="69">
        <f t="shared" si="5"/>
        <v>184</v>
      </c>
      <c r="J53" s="69">
        <f t="shared" si="6"/>
        <v>214</v>
      </c>
      <c r="K53" s="69">
        <f t="shared" si="7"/>
        <v>245</v>
      </c>
      <c r="L53" s="69">
        <f t="shared" si="8"/>
        <v>275</v>
      </c>
      <c r="M53" s="69">
        <f t="shared" si="9"/>
        <v>308</v>
      </c>
      <c r="N53" s="69">
        <f t="shared" si="10"/>
        <v>337</v>
      </c>
      <c r="O53" s="69">
        <f t="shared" si="11"/>
        <v>365</v>
      </c>
      <c r="S53" s="64" t="s">
        <v>83</v>
      </c>
      <c r="T53" s="68">
        <f>MAX(C10:N10)-MIN(C10:N10)</f>
        <v>8.5786999999999999E-3</v>
      </c>
    </row>
    <row r="54" spans="1:20" x14ac:dyDescent="0.25">
      <c r="A54" s="129"/>
      <c r="B54" s="138"/>
      <c r="C54" s="132" t="s">
        <v>87</v>
      </c>
      <c r="D54" s="69">
        <f t="shared" si="0"/>
        <v>32</v>
      </c>
      <c r="E54" s="69">
        <f t="shared" si="1"/>
        <v>61</v>
      </c>
      <c r="F54" s="69">
        <f t="shared" si="2"/>
        <v>91</v>
      </c>
      <c r="G54" s="69">
        <f t="shared" si="3"/>
        <v>123</v>
      </c>
      <c r="H54" s="69">
        <f t="shared" si="4"/>
        <v>153</v>
      </c>
      <c r="I54" s="69">
        <f t="shared" si="5"/>
        <v>183</v>
      </c>
      <c r="J54" s="69">
        <f t="shared" si="6"/>
        <v>214</v>
      </c>
      <c r="K54" s="69">
        <f t="shared" si="7"/>
        <v>244</v>
      </c>
      <c r="L54" s="69">
        <f t="shared" si="8"/>
        <v>277</v>
      </c>
      <c r="M54" s="69">
        <f t="shared" si="9"/>
        <v>306</v>
      </c>
      <c r="N54" s="69">
        <f t="shared" si="10"/>
        <v>334</v>
      </c>
      <c r="O54" s="69">
        <f t="shared" si="11"/>
        <v>365</v>
      </c>
      <c r="S54" s="64" t="s">
        <v>89</v>
      </c>
      <c r="T54" s="68">
        <f>MAX(C11:N11)-MIN(C11:N11)</f>
        <v>8.2594000000000001E-3</v>
      </c>
    </row>
    <row r="55" spans="1:20" x14ac:dyDescent="0.25">
      <c r="A55" s="129"/>
      <c r="B55" s="138"/>
      <c r="C55" s="132" t="s">
        <v>86</v>
      </c>
      <c r="D55" s="69">
        <f t="shared" si="0"/>
        <v>29</v>
      </c>
      <c r="E55" s="69">
        <f t="shared" si="1"/>
        <v>59</v>
      </c>
      <c r="F55" s="69">
        <f t="shared" si="2"/>
        <v>91</v>
      </c>
      <c r="G55" s="69">
        <f t="shared" si="3"/>
        <v>121</v>
      </c>
      <c r="H55" s="69">
        <f t="shared" si="4"/>
        <v>151</v>
      </c>
      <c r="I55" s="69">
        <f t="shared" si="5"/>
        <v>182</v>
      </c>
      <c r="J55" s="69">
        <f t="shared" si="6"/>
        <v>212</v>
      </c>
      <c r="K55" s="69">
        <f t="shared" si="7"/>
        <v>245</v>
      </c>
      <c r="L55" s="69">
        <f t="shared" si="8"/>
        <v>274</v>
      </c>
      <c r="M55" s="69">
        <f t="shared" si="9"/>
        <v>302</v>
      </c>
      <c r="N55" s="69">
        <f t="shared" si="10"/>
        <v>333</v>
      </c>
      <c r="O55" s="69">
        <f t="shared" si="11"/>
        <v>364</v>
      </c>
      <c r="S55" s="64" t="s">
        <v>90</v>
      </c>
      <c r="T55" s="68">
        <f>MAX(C12:N12)-MIN(C12:N12)</f>
        <v>7.2693999999999988E-3</v>
      </c>
    </row>
    <row r="56" spans="1:20" x14ac:dyDescent="0.25">
      <c r="A56" s="129"/>
      <c r="B56" s="138"/>
      <c r="C56" s="132" t="s">
        <v>83</v>
      </c>
      <c r="D56" s="69">
        <f t="shared" si="0"/>
        <v>30</v>
      </c>
      <c r="E56" s="69">
        <f t="shared" si="1"/>
        <v>62</v>
      </c>
      <c r="F56" s="69">
        <f t="shared" si="2"/>
        <v>92</v>
      </c>
      <c r="G56" s="69">
        <f t="shared" si="3"/>
        <v>122</v>
      </c>
      <c r="H56" s="69">
        <f t="shared" si="4"/>
        <v>153</v>
      </c>
      <c r="I56" s="69">
        <f t="shared" si="5"/>
        <v>183</v>
      </c>
      <c r="J56" s="69">
        <f t="shared" si="6"/>
        <v>216</v>
      </c>
      <c r="K56" s="69">
        <f t="shared" si="7"/>
        <v>245</v>
      </c>
      <c r="L56" s="69">
        <f t="shared" si="8"/>
        <v>273</v>
      </c>
      <c r="M56" s="69">
        <f t="shared" si="9"/>
        <v>304</v>
      </c>
      <c r="N56" s="69">
        <f t="shared" si="10"/>
        <v>335</v>
      </c>
      <c r="O56" s="69">
        <f t="shared" si="11"/>
        <v>367</v>
      </c>
      <c r="S56" s="64" t="s">
        <v>91</v>
      </c>
      <c r="T56" s="68">
        <f>MAX(C13:N13)-MIN(C13:N13)</f>
        <v>5.8206999999999998E-3</v>
      </c>
    </row>
    <row r="57" spans="1:20" x14ac:dyDescent="0.25">
      <c r="A57" s="129"/>
      <c r="B57" s="138"/>
      <c r="C57" s="132" t="s">
        <v>89</v>
      </c>
      <c r="D57" s="69">
        <f t="shared" si="0"/>
        <v>32</v>
      </c>
      <c r="E57" s="69">
        <f t="shared" si="1"/>
        <v>62</v>
      </c>
      <c r="F57" s="69">
        <f t="shared" si="2"/>
        <v>92</v>
      </c>
      <c r="G57" s="69">
        <f t="shared" si="3"/>
        <v>123</v>
      </c>
      <c r="H57" s="69">
        <f t="shared" si="4"/>
        <v>153</v>
      </c>
      <c r="I57" s="69">
        <f t="shared" si="5"/>
        <v>186</v>
      </c>
      <c r="J57" s="69">
        <f t="shared" si="6"/>
        <v>215</v>
      </c>
      <c r="K57" s="69">
        <f t="shared" si="7"/>
        <v>243</v>
      </c>
      <c r="L57" s="69">
        <f t="shared" si="8"/>
        <v>274</v>
      </c>
      <c r="M57" s="69">
        <f t="shared" si="9"/>
        <v>305</v>
      </c>
      <c r="N57" s="69">
        <f t="shared" si="10"/>
        <v>337</v>
      </c>
      <c r="O57" s="69">
        <f t="shared" si="11"/>
        <v>365</v>
      </c>
      <c r="S57" s="64" t="s">
        <v>84</v>
      </c>
      <c r="T57" s="68">
        <f>MAX(C14:N14)-MIN(C14:N14)</f>
        <v>5.2149999999999992E-3</v>
      </c>
    </row>
    <row r="58" spans="1:20" x14ac:dyDescent="0.25">
      <c r="A58" s="129"/>
      <c r="B58" s="138"/>
      <c r="C58" s="132" t="s">
        <v>90</v>
      </c>
      <c r="D58" s="69">
        <f t="shared" si="0"/>
        <v>30</v>
      </c>
      <c r="E58" s="69">
        <f t="shared" si="1"/>
        <v>60</v>
      </c>
      <c r="F58" s="69">
        <f t="shared" si="2"/>
        <v>91</v>
      </c>
      <c r="G58" s="69">
        <f t="shared" si="3"/>
        <v>121</v>
      </c>
      <c r="H58" s="69">
        <f t="shared" si="4"/>
        <v>154</v>
      </c>
      <c r="I58" s="69">
        <f t="shared" si="5"/>
        <v>183</v>
      </c>
      <c r="J58" s="69">
        <f t="shared" si="6"/>
        <v>211</v>
      </c>
      <c r="K58" s="69">
        <f t="shared" si="7"/>
        <v>242</v>
      </c>
      <c r="L58" s="69">
        <f t="shared" si="8"/>
        <v>273</v>
      </c>
      <c r="M58" s="69">
        <f t="shared" si="9"/>
        <v>305</v>
      </c>
      <c r="N58" s="69">
        <f t="shared" si="10"/>
        <v>333</v>
      </c>
      <c r="O58" s="69">
        <f t="shared" si="11"/>
        <v>364</v>
      </c>
      <c r="S58" s="64" t="s">
        <v>81</v>
      </c>
      <c r="T58" s="68">
        <f>MAX(C15:N15)-MIN(C15:N15)</f>
        <v>5.0663000000000001E-3</v>
      </c>
    </row>
    <row r="59" spans="1:20" ht="15.75" thickBot="1" x14ac:dyDescent="0.3">
      <c r="A59" s="129"/>
      <c r="B59" s="138"/>
      <c r="C59" s="132" t="s">
        <v>91</v>
      </c>
      <c r="D59" s="69">
        <f t="shared" si="0"/>
        <v>30</v>
      </c>
      <c r="E59" s="69">
        <f t="shared" si="1"/>
        <v>61</v>
      </c>
      <c r="F59" s="69">
        <f t="shared" si="2"/>
        <v>91</v>
      </c>
      <c r="G59" s="69">
        <f t="shared" si="3"/>
        <v>124</v>
      </c>
      <c r="H59" s="69">
        <f t="shared" si="4"/>
        <v>153</v>
      </c>
      <c r="I59" s="69">
        <f t="shared" si="5"/>
        <v>181</v>
      </c>
      <c r="J59" s="69">
        <f t="shared" si="6"/>
        <v>212</v>
      </c>
      <c r="K59" s="69">
        <f t="shared" si="7"/>
        <v>243</v>
      </c>
      <c r="L59" s="69">
        <f t="shared" si="8"/>
        <v>275</v>
      </c>
      <c r="M59" s="69">
        <f t="shared" si="9"/>
        <v>303</v>
      </c>
      <c r="N59" s="69">
        <f t="shared" si="10"/>
        <v>334</v>
      </c>
      <c r="O59" s="69">
        <f t="shared" si="11"/>
        <v>365</v>
      </c>
      <c r="S59" s="65" t="s">
        <v>85</v>
      </c>
      <c r="T59" s="68">
        <f>MAX(C16:N16)-MIN(C16:N16)</f>
        <v>5.2469000000000005E-3</v>
      </c>
    </row>
    <row r="60" spans="1:20" x14ac:dyDescent="0.25">
      <c r="A60" s="129"/>
      <c r="B60" s="138"/>
      <c r="C60" s="132" t="s">
        <v>84</v>
      </c>
      <c r="D60" s="69">
        <f t="shared" si="0"/>
        <v>31</v>
      </c>
      <c r="E60" s="69">
        <f t="shared" si="1"/>
        <v>61</v>
      </c>
      <c r="F60" s="69">
        <f t="shared" si="2"/>
        <v>94</v>
      </c>
      <c r="G60" s="69">
        <f t="shared" si="3"/>
        <v>123</v>
      </c>
      <c r="H60" s="69">
        <f t="shared" si="4"/>
        <v>151</v>
      </c>
      <c r="I60" s="69">
        <f t="shared" si="5"/>
        <v>182</v>
      </c>
      <c r="J60" s="69">
        <f t="shared" si="6"/>
        <v>213</v>
      </c>
      <c r="K60" s="69">
        <f t="shared" si="7"/>
        <v>245</v>
      </c>
      <c r="L60" s="69">
        <f t="shared" si="8"/>
        <v>273</v>
      </c>
      <c r="M60" s="69">
        <f t="shared" si="9"/>
        <v>304</v>
      </c>
      <c r="N60" s="69">
        <f t="shared" si="10"/>
        <v>335</v>
      </c>
      <c r="O60" s="69">
        <f t="shared" si="11"/>
        <v>367</v>
      </c>
    </row>
    <row r="61" spans="1:20" x14ac:dyDescent="0.25">
      <c r="A61" s="129"/>
      <c r="B61" s="138"/>
      <c r="C61" s="132" t="s">
        <v>81</v>
      </c>
      <c r="D61" s="69">
        <f t="shared" si="0"/>
        <v>30</v>
      </c>
      <c r="E61" s="69">
        <f t="shared" si="1"/>
        <v>63</v>
      </c>
      <c r="F61" s="69">
        <f t="shared" si="2"/>
        <v>92</v>
      </c>
      <c r="G61" s="69">
        <f t="shared" si="3"/>
        <v>120</v>
      </c>
      <c r="H61" s="69">
        <f t="shared" si="4"/>
        <v>151</v>
      </c>
      <c r="I61" s="69">
        <f t="shared" si="5"/>
        <v>182</v>
      </c>
      <c r="J61" s="69">
        <f t="shared" si="6"/>
        <v>214</v>
      </c>
      <c r="K61" s="69">
        <f t="shared" si="7"/>
        <v>242</v>
      </c>
      <c r="L61" s="69">
        <f t="shared" si="8"/>
        <v>273</v>
      </c>
      <c r="M61" s="69">
        <f t="shared" si="9"/>
        <v>304</v>
      </c>
      <c r="N61" s="69">
        <f t="shared" si="10"/>
        <v>336</v>
      </c>
      <c r="O61" s="69">
        <f t="shared" si="11"/>
        <v>365</v>
      </c>
    </row>
    <row r="62" spans="1:20" ht="15.75" thickBot="1" x14ac:dyDescent="0.3">
      <c r="A62" s="129"/>
      <c r="B62" s="139"/>
      <c r="C62" s="133" t="s">
        <v>85</v>
      </c>
      <c r="D62" s="69">
        <f t="shared" si="0"/>
        <v>33</v>
      </c>
      <c r="E62" s="69">
        <f t="shared" si="1"/>
        <v>62</v>
      </c>
      <c r="F62" s="69">
        <f t="shared" si="2"/>
        <v>90</v>
      </c>
      <c r="G62" s="69">
        <f t="shared" si="3"/>
        <v>121</v>
      </c>
      <c r="H62" s="69">
        <f t="shared" si="4"/>
        <v>152</v>
      </c>
      <c r="I62" s="69">
        <f t="shared" si="5"/>
        <v>184</v>
      </c>
      <c r="J62" s="69">
        <f t="shared" si="6"/>
        <v>212</v>
      </c>
      <c r="K62" s="69">
        <f t="shared" si="7"/>
        <v>243</v>
      </c>
      <c r="L62" s="69">
        <f t="shared" si="8"/>
        <v>274</v>
      </c>
      <c r="M62" s="69">
        <f t="shared" si="9"/>
        <v>306</v>
      </c>
      <c r="N62" s="69">
        <f t="shared" si="10"/>
        <v>335</v>
      </c>
      <c r="O62" s="69">
        <f t="shared" si="11"/>
        <v>366</v>
      </c>
    </row>
    <row r="63" spans="1:20" x14ac:dyDescent="0.25">
      <c r="A63" s="129"/>
      <c r="B63" s="138" t="s">
        <v>136</v>
      </c>
      <c r="C63" s="134">
        <v>40546</v>
      </c>
      <c r="D63" s="69"/>
      <c r="E63" s="69"/>
      <c r="F63" s="69"/>
      <c r="G63" s="69"/>
      <c r="H63" s="69"/>
      <c r="I63" s="69"/>
      <c r="J63" s="69"/>
      <c r="K63" s="69"/>
      <c r="L63" s="69"/>
      <c r="M63" s="69"/>
      <c r="N63" s="69"/>
      <c r="O63" s="69"/>
    </row>
    <row r="64" spans="1:20" x14ac:dyDescent="0.25">
      <c r="A64" s="129"/>
      <c r="B64" s="138"/>
      <c r="C64" s="135">
        <v>40575</v>
      </c>
      <c r="D64" s="69"/>
      <c r="E64" s="69"/>
      <c r="F64" s="69"/>
      <c r="G64" s="69"/>
      <c r="H64" s="69"/>
      <c r="I64" s="69"/>
      <c r="J64" s="69"/>
      <c r="K64" s="69"/>
      <c r="L64" s="69"/>
      <c r="M64" s="69"/>
      <c r="N64" s="69"/>
      <c r="O64" s="69"/>
    </row>
    <row r="65" spans="1:15" x14ac:dyDescent="0.25">
      <c r="A65" s="129"/>
      <c r="B65" s="138"/>
      <c r="C65" s="135">
        <v>40603</v>
      </c>
      <c r="D65" s="69"/>
      <c r="E65" s="69"/>
      <c r="F65" s="69"/>
      <c r="G65" s="69"/>
      <c r="H65" s="69"/>
      <c r="I65" s="69"/>
      <c r="J65" s="69"/>
      <c r="K65" s="69"/>
      <c r="L65" s="69"/>
      <c r="M65" s="69"/>
      <c r="N65" s="69"/>
      <c r="O65" s="69"/>
    </row>
    <row r="66" spans="1:15" x14ac:dyDescent="0.25">
      <c r="A66" s="129"/>
      <c r="B66" s="138"/>
      <c r="C66" s="135">
        <v>40634</v>
      </c>
      <c r="D66" s="69"/>
      <c r="E66" s="69"/>
      <c r="F66" s="69"/>
      <c r="G66" s="69"/>
      <c r="H66" s="69"/>
      <c r="I66" s="69"/>
      <c r="J66" s="69"/>
      <c r="K66" s="69"/>
      <c r="L66" s="69"/>
      <c r="M66" s="69"/>
      <c r="N66" s="69"/>
      <c r="O66" s="69"/>
    </row>
    <row r="67" spans="1:15" x14ac:dyDescent="0.25">
      <c r="A67" s="129"/>
      <c r="B67" s="138"/>
      <c r="C67" s="135">
        <v>40665</v>
      </c>
      <c r="D67" s="69"/>
      <c r="E67" s="69"/>
      <c r="F67" s="69"/>
      <c r="G67" s="69"/>
      <c r="H67" s="69"/>
      <c r="I67" s="69"/>
      <c r="J67" s="69"/>
      <c r="K67" s="69"/>
      <c r="L67" s="69"/>
      <c r="M67" s="69"/>
      <c r="N67" s="69"/>
      <c r="O67" s="69"/>
    </row>
    <row r="68" spans="1:15" x14ac:dyDescent="0.25">
      <c r="A68" s="129"/>
      <c r="B68" s="138"/>
      <c r="C68" s="135">
        <v>40697</v>
      </c>
      <c r="D68" s="69"/>
      <c r="E68" s="69"/>
      <c r="F68" s="69"/>
      <c r="G68" s="69"/>
      <c r="H68" s="69"/>
      <c r="I68" s="69"/>
      <c r="J68" s="69"/>
      <c r="K68" s="69"/>
      <c r="L68" s="69"/>
      <c r="M68" s="69"/>
      <c r="N68" s="69"/>
      <c r="O68" s="69"/>
    </row>
    <row r="69" spans="1:15" x14ac:dyDescent="0.25">
      <c r="A69" s="129"/>
      <c r="B69" s="138"/>
      <c r="C69" s="135">
        <v>40725</v>
      </c>
      <c r="D69" s="69"/>
      <c r="E69" s="69"/>
      <c r="F69" s="69"/>
      <c r="G69" s="69"/>
      <c r="H69" s="69"/>
      <c r="I69" s="69"/>
      <c r="J69" s="69"/>
      <c r="K69" s="69"/>
      <c r="L69" s="69"/>
      <c r="M69" s="69"/>
      <c r="N69" s="69"/>
      <c r="O69" s="69"/>
    </row>
    <row r="70" spans="1:15" x14ac:dyDescent="0.25">
      <c r="A70" s="129"/>
      <c r="B70" s="138"/>
      <c r="C70" s="135">
        <v>40756</v>
      </c>
      <c r="D70" s="69"/>
      <c r="E70" s="69"/>
      <c r="F70" s="69"/>
      <c r="G70" s="69"/>
      <c r="H70" s="69"/>
      <c r="I70" s="69"/>
      <c r="J70" s="69"/>
      <c r="K70" s="69"/>
      <c r="L70" s="69"/>
      <c r="M70" s="69"/>
      <c r="N70" s="69"/>
      <c r="O70" s="69"/>
    </row>
    <row r="71" spans="1:15" x14ac:dyDescent="0.25">
      <c r="A71" s="129"/>
      <c r="B71" s="138"/>
      <c r="C71" s="135">
        <v>40787</v>
      </c>
      <c r="D71" s="69"/>
      <c r="E71" s="69"/>
      <c r="F71" s="69"/>
      <c r="G71" s="69"/>
      <c r="H71" s="69"/>
      <c r="I71" s="69"/>
      <c r="J71" s="69"/>
      <c r="K71" s="69"/>
      <c r="L71" s="69"/>
      <c r="M71" s="69"/>
      <c r="N71" s="69"/>
      <c r="O71" s="69"/>
    </row>
    <row r="72" spans="1:15" x14ac:dyDescent="0.25">
      <c r="A72" s="129"/>
      <c r="B72" s="138"/>
      <c r="C72" s="135">
        <v>40819</v>
      </c>
      <c r="D72" s="69"/>
      <c r="E72" s="69"/>
      <c r="F72" s="69"/>
      <c r="G72" s="69"/>
      <c r="H72" s="69"/>
      <c r="I72" s="69"/>
      <c r="J72" s="69"/>
      <c r="K72" s="69"/>
      <c r="L72" s="69"/>
      <c r="M72" s="69"/>
      <c r="N72" s="69"/>
      <c r="O72" s="69"/>
    </row>
    <row r="73" spans="1:15" x14ac:dyDescent="0.25">
      <c r="A73" s="129"/>
      <c r="B73" s="138"/>
      <c r="C73" s="135">
        <v>40848</v>
      </c>
      <c r="D73" s="69"/>
      <c r="E73" s="69"/>
      <c r="F73" s="69"/>
      <c r="G73" s="69"/>
      <c r="H73" s="69"/>
      <c r="I73" s="69"/>
      <c r="J73" s="69"/>
      <c r="K73" s="69"/>
      <c r="L73" s="69"/>
      <c r="M73" s="69"/>
      <c r="N73" s="69"/>
      <c r="O73" s="69"/>
    </row>
    <row r="74" spans="1:15" ht="15.75" thickBot="1" x14ac:dyDescent="0.3">
      <c r="A74" s="130"/>
      <c r="B74" s="139"/>
      <c r="C74" s="136">
        <v>40879</v>
      </c>
      <c r="D74" s="69"/>
      <c r="E74" s="69"/>
      <c r="F74" s="69"/>
      <c r="G74" s="69"/>
      <c r="H74" s="69"/>
      <c r="I74" s="69"/>
      <c r="J74" s="69"/>
      <c r="K74" s="69"/>
      <c r="L74" s="69"/>
      <c r="M74" s="69"/>
      <c r="N74" s="69"/>
      <c r="O74" s="69"/>
    </row>
    <row r="77" spans="1:15" x14ac:dyDescent="0.25">
      <c r="B77" s="56" t="s">
        <v>97</v>
      </c>
    </row>
    <row r="78" spans="1:15" ht="15.75" thickBot="1" x14ac:dyDescent="0.3">
      <c r="B78" s="66" t="s">
        <v>110</v>
      </c>
      <c r="C78" s="66" t="s">
        <v>107</v>
      </c>
      <c r="D78" s="66" t="s">
        <v>108</v>
      </c>
    </row>
    <row r="79" spans="1:15" x14ac:dyDescent="0.25">
      <c r="B79" s="75" t="str">
        <f>SUBSTITUTE(C79, "/2010", "" )</f>
        <v>1/4</v>
      </c>
      <c r="C79" s="79" t="s">
        <v>88</v>
      </c>
      <c r="D79" s="82">
        <f t="shared" ref="D79:D90" si="12">GetSwapRate(C5:N5,O5:Z5)</f>
        <v>9.8748308148247262E-3</v>
      </c>
    </row>
    <row r="80" spans="1:15" x14ac:dyDescent="0.25">
      <c r="B80" s="75" t="str">
        <f t="shared" ref="B80:B90" si="13">SUBSTITUTE(C80, "/2010", "" )</f>
        <v>2/1</v>
      </c>
      <c r="C80" s="80" t="s">
        <v>71</v>
      </c>
      <c r="D80" s="83">
        <f t="shared" si="12"/>
        <v>8.3800647931902943E-3</v>
      </c>
    </row>
    <row r="81" spans="2:4" x14ac:dyDescent="0.25">
      <c r="B81" s="75" t="str">
        <f t="shared" si="13"/>
        <v>3/1</v>
      </c>
      <c r="C81" s="80" t="s">
        <v>82</v>
      </c>
      <c r="D81" s="83">
        <f t="shared" si="12"/>
        <v>8.3488417386136729E-3</v>
      </c>
    </row>
    <row r="82" spans="2:4" x14ac:dyDescent="0.25">
      <c r="B82" s="75" t="str">
        <f t="shared" si="13"/>
        <v>4/1</v>
      </c>
      <c r="C82" s="80" t="s">
        <v>87</v>
      </c>
      <c r="D82" s="83">
        <f t="shared" si="12"/>
        <v>9.0973093491153491E-3</v>
      </c>
    </row>
    <row r="83" spans="2:4" x14ac:dyDescent="0.25">
      <c r="B83" s="75" t="str">
        <f t="shared" si="13"/>
        <v>5/3</v>
      </c>
      <c r="C83" s="80" t="s">
        <v>86</v>
      </c>
      <c r="D83" s="83">
        <f t="shared" si="12"/>
        <v>1.033350478930299E-2</v>
      </c>
    </row>
    <row r="84" spans="2:4" x14ac:dyDescent="0.25">
      <c r="B84" s="75" t="str">
        <f t="shared" si="13"/>
        <v>6/1</v>
      </c>
      <c r="C84" s="80" t="s">
        <v>83</v>
      </c>
      <c r="D84" s="83">
        <f t="shared" si="12"/>
        <v>1.2001751306000501E-2</v>
      </c>
    </row>
    <row r="85" spans="2:4" x14ac:dyDescent="0.25">
      <c r="B85" s="75" t="str">
        <f t="shared" si="13"/>
        <v>7/1</v>
      </c>
      <c r="C85" s="80" t="s">
        <v>89</v>
      </c>
      <c r="D85" s="83">
        <f t="shared" si="12"/>
        <v>1.1650963430167249E-2</v>
      </c>
    </row>
    <row r="86" spans="2:4" x14ac:dyDescent="0.25">
      <c r="B86" s="75" t="str">
        <f t="shared" si="13"/>
        <v>8/2</v>
      </c>
      <c r="C86" s="80" t="s">
        <v>90</v>
      </c>
      <c r="D86" s="83">
        <f t="shared" si="12"/>
        <v>1.0235555803679276E-2</v>
      </c>
    </row>
    <row r="87" spans="2:4" x14ac:dyDescent="0.25">
      <c r="B87" s="75" t="str">
        <f t="shared" si="13"/>
        <v>9/1</v>
      </c>
      <c r="C87" s="80" t="s">
        <v>91</v>
      </c>
      <c r="D87" s="83">
        <f t="shared" si="12"/>
        <v>8.3563870510631622E-3</v>
      </c>
    </row>
    <row r="88" spans="2:4" x14ac:dyDescent="0.25">
      <c r="B88" s="75" t="str">
        <f t="shared" si="13"/>
        <v>10/1</v>
      </c>
      <c r="C88" s="80" t="s">
        <v>84</v>
      </c>
      <c r="D88" s="83">
        <f t="shared" si="12"/>
        <v>7.7473605694075558E-3</v>
      </c>
    </row>
    <row r="89" spans="2:4" x14ac:dyDescent="0.25">
      <c r="B89" s="75" t="str">
        <f t="shared" si="13"/>
        <v>11/1</v>
      </c>
      <c r="C89" s="80" t="s">
        <v>81</v>
      </c>
      <c r="D89" s="83">
        <f t="shared" si="12"/>
        <v>7.569024700580608E-3</v>
      </c>
    </row>
    <row r="90" spans="2:4" ht="15.75" thickBot="1" x14ac:dyDescent="0.3">
      <c r="B90" s="75" t="str">
        <f t="shared" si="13"/>
        <v>12/1</v>
      </c>
      <c r="C90" s="81" t="s">
        <v>85</v>
      </c>
      <c r="D90" s="84">
        <f t="shared" si="12"/>
        <v>7.8624991592166574E-3</v>
      </c>
    </row>
    <row r="94" spans="2:4" x14ac:dyDescent="0.25">
      <c r="B94" s="56" t="s">
        <v>111</v>
      </c>
    </row>
    <row r="95" spans="2:4" x14ac:dyDescent="0.25">
      <c r="B95" s="54" t="s">
        <v>135</v>
      </c>
    </row>
    <row r="96" spans="2:4" x14ac:dyDescent="0.25">
      <c r="B96" s="54" t="s">
        <v>132</v>
      </c>
    </row>
    <row r="97" spans="2:4" x14ac:dyDescent="0.25">
      <c r="B97" s="54" t="s">
        <v>134</v>
      </c>
    </row>
    <row r="98" spans="2:4" x14ac:dyDescent="0.25">
      <c r="B98" s="54" t="s">
        <v>133</v>
      </c>
    </row>
    <row r="100" spans="2:4" x14ac:dyDescent="0.25">
      <c r="B100" s="56" t="s">
        <v>111</v>
      </c>
    </row>
    <row r="101" spans="2:4" x14ac:dyDescent="0.25">
      <c r="B101" s="86" t="s">
        <v>114</v>
      </c>
    </row>
    <row r="102" spans="2:4" ht="15.75" thickBot="1" x14ac:dyDescent="0.3">
      <c r="B102" s="86"/>
    </row>
    <row r="103" spans="2:4" ht="15.75" thickBot="1" x14ac:dyDescent="0.3">
      <c r="B103" s="67" t="s">
        <v>107</v>
      </c>
      <c r="C103" s="92" t="s">
        <v>112</v>
      </c>
      <c r="D103" s="93" t="s">
        <v>113</v>
      </c>
    </row>
    <row r="104" spans="2:4" x14ac:dyDescent="0.25">
      <c r="B104" s="75" t="s">
        <v>88</v>
      </c>
      <c r="C104" s="89">
        <v>1</v>
      </c>
      <c r="D104" s="87">
        <f>GetSwapValue($D$79, C104, C6:M6,O6:Y6)</f>
        <v>2.0965004013724364E-3</v>
      </c>
    </row>
    <row r="105" spans="2:4" x14ac:dyDescent="0.25">
      <c r="C105" s="89">
        <v>2</v>
      </c>
      <c r="D105" s="87">
        <f t="shared" ref="D105:F114" si="14">GetSwapValue($D$79, C105, C7:M7,O7:Y7)</f>
        <v>2.6512431183529639E-3</v>
      </c>
    </row>
    <row r="106" spans="2:4" x14ac:dyDescent="0.25">
      <c r="C106" s="89">
        <v>3</v>
      </c>
      <c r="D106" s="87">
        <f t="shared" si="14"/>
        <v>2.4439742474329229E-3</v>
      </c>
    </row>
    <row r="107" spans="2:4" x14ac:dyDescent="0.25">
      <c r="C107" s="90">
        <v>4</v>
      </c>
      <c r="D107" s="87">
        <f t="shared" si="14"/>
        <v>1.9400022912201553E-3</v>
      </c>
    </row>
    <row r="108" spans="2:4" x14ac:dyDescent="0.25">
      <c r="C108" s="89">
        <v>5</v>
      </c>
      <c r="D108" s="87">
        <f t="shared" si="14"/>
        <v>9.4312094875115271E-4</v>
      </c>
    </row>
    <row r="109" spans="2:4" x14ac:dyDescent="0.25">
      <c r="C109" s="89">
        <v>6</v>
      </c>
      <c r="D109" s="87">
        <f t="shared" si="14"/>
        <v>1.2272357445657356E-3</v>
      </c>
    </row>
    <row r="110" spans="2:4" x14ac:dyDescent="0.25">
      <c r="C110" s="89">
        <v>7</v>
      </c>
      <c r="D110" s="87">
        <f t="shared" si="14"/>
        <v>1.7386256981388737E-3</v>
      </c>
    </row>
    <row r="111" spans="2:4" x14ac:dyDescent="0.25">
      <c r="C111" s="90">
        <v>8</v>
      </c>
      <c r="D111" s="87">
        <f t="shared" si="14"/>
        <v>2.1745210689179117E-3</v>
      </c>
    </row>
    <row r="112" spans="2:4" x14ac:dyDescent="0.25">
      <c r="C112" s="89">
        <v>9</v>
      </c>
      <c r="D112" s="87">
        <f t="shared" si="14"/>
        <v>1.8188805055752155E-3</v>
      </c>
    </row>
    <row r="113" spans="3:4" x14ac:dyDescent="0.25">
      <c r="C113" s="89">
        <v>10</v>
      </c>
      <c r="D113" s="87">
        <f t="shared" si="14"/>
        <v>1.2576844763765305E-3</v>
      </c>
    </row>
    <row r="114" spans="3:4" ht="15.75" thickBot="1" x14ac:dyDescent="0.3">
      <c r="C114" s="91">
        <v>11</v>
      </c>
      <c r="D114" s="88">
        <f t="shared" si="14"/>
        <v>6.6183103350003769E-4</v>
      </c>
    </row>
  </sheetData>
  <mergeCells count="5">
    <mergeCell ref="B51:B62"/>
    <mergeCell ref="B63:B74"/>
    <mergeCell ref="C3:N3"/>
    <mergeCell ref="O3:Z3"/>
    <mergeCell ref="A51:A74"/>
  </mergeCells>
  <conditionalFormatting sqref="T48:T59">
    <cfRule type="colorScale" priority="5">
      <colorScale>
        <cfvo type="min"/>
        <cfvo type="max"/>
        <color rgb="FFFCFCFF"/>
        <color rgb="FF63BE7B"/>
      </colorScale>
    </cfRule>
  </conditionalFormatting>
  <conditionalFormatting sqref="D79:D90">
    <cfRule type="dataBar" priority="2">
      <dataBar>
        <cfvo type="min"/>
        <cfvo type="max"/>
        <color theme="9" tint="0.59999389629810485"/>
      </dataBar>
      <extLst>
        <ext xmlns:x14="http://schemas.microsoft.com/office/spreadsheetml/2009/9/main" uri="{B025F937-C7B1-47D3-B67F-A62EFF666E3E}">
          <x14:id>{D8889F6F-5AA4-4114-A625-452F7EE57EEE}</x14:id>
        </ext>
      </extLst>
    </cfRule>
    <cfRule type="dataBar" priority="3">
      <dataBar>
        <cfvo type="min"/>
        <cfvo type="max"/>
        <color rgb="FF63C384"/>
      </dataBar>
      <extLst>
        <ext xmlns:x14="http://schemas.microsoft.com/office/spreadsheetml/2009/9/main" uri="{B025F937-C7B1-47D3-B67F-A62EFF666E3E}">
          <x14:id>{A52E5E8C-AFE5-4D6B-ADFF-30A17343A231}</x14:id>
        </ext>
      </extLst>
    </cfRule>
  </conditionalFormatting>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D8889F6F-5AA4-4114-A625-452F7EE57EEE}">
            <x14:dataBar minLength="0" maxLength="100" gradient="0">
              <x14:cfvo type="autoMin"/>
              <x14:cfvo type="autoMax"/>
              <x14:negativeFillColor rgb="FFFF0000"/>
              <x14:axisColor rgb="FF000000"/>
            </x14:dataBar>
          </x14:cfRule>
          <x14:cfRule type="dataBar" id="{A52E5E8C-AFE5-4D6B-ADFF-30A17343A231}">
            <x14:dataBar minLength="0" maxLength="100" border="1" negativeBarBorderColorSameAsPositive="0">
              <x14:cfvo type="autoMin"/>
              <x14:cfvo type="autoMax"/>
              <x14:borderColor rgb="FF63C384"/>
              <x14:negativeFillColor rgb="FFFF0000"/>
              <x14:negativeBorderColor rgb="FFFF0000"/>
              <x14:axisColor rgb="FF000000"/>
            </x14:dataBar>
          </x14:cfRule>
          <xm:sqref>D79:D90</xm:sqref>
        </x14:conditionalFormatting>
      </x14:conditionalFormattings>
    </ex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Part 1</vt:lpstr>
      <vt:lpstr>Part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Ramanen</dc:creator>
  <cp:lastModifiedBy>Ramanen</cp:lastModifiedBy>
  <dcterms:created xsi:type="dcterms:W3CDTF">2025-04-04T10:21:35Z</dcterms:created>
  <dcterms:modified xsi:type="dcterms:W3CDTF">2025-04-09T14:43:34Z</dcterms:modified>
</cp:coreProperties>
</file>